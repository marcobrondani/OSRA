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 Surface Register" sheetId="1" state="visible" r:id="rId1"/>
    <sheet name="Failure Type Taxonomy" sheetId="2" state="visible" r:id="rId2"/>
    <sheet name="Severity Guide" sheetId="3" state="visible" r:id="rId3"/>
    <sheet name="Detection-Horizon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C62828"/>
      <sz val="14"/>
    </font>
    <font>
      <color rgb="FF666666"/>
      <sz val="9"/>
    </font>
    <font>
      <b val="1"/>
      <color rgb="FFFFFFFF"/>
      <sz val="11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FFC62828"/>
      </patternFill>
    </fill>
    <fill>
      <patternFill patternType="solid">
        <fgColor rgb="FFFFF2CC"/>
      </patternFill>
    </fill>
    <fill>
      <patternFill patternType="solid">
        <fgColor rgb="FFE1BEE7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8" customWidth="1" min="4" max="4"/>
    <col width="30" customWidth="1" min="5" max="5"/>
    <col width="20" customWidth="1" min="6" max="6"/>
    <col width="12" customWidth="1" min="7" max="7"/>
    <col width="12" customWidth="1" min="8" max="8"/>
    <col width="14" customWidth="1" min="9" max="9"/>
    <col width="14" customWidth="1" min="10" max="10"/>
    <col width="11" customWidth="1" min="11" max="11"/>
    <col width="12" customWidth="1" min="12" max="12"/>
    <col width="16" customWidth="1" min="13" max="13"/>
    <col width="10" customWidth="1" min="14" max="14"/>
    <col width="30" customWidth="1" min="15" max="15"/>
  </cols>
  <sheetData>
    <row r="1">
      <c r="A1" s="1" t="inlineStr">
        <is>
          <t>OSRA PHASE 2 — FAILURE SURFACE REGISTER (v1.2)</t>
        </is>
      </c>
    </row>
    <row r="2">
      <c r="A2" s="2" t="inlineStr">
        <is>
          <t>One row per failure mode. Severity comes from impact and a tested fallback only (see Severity Guide). Silent Failure Risk is Y when the failure type is Silent failure and detection confidence is Low or None: this is condition 2 in Phase 4. Yellow = input, purple = formula.</t>
        </is>
      </c>
    </row>
    <row r="3">
      <c r="A3" s="3" t="inlineStr">
        <is>
          <t>Failure ID</t>
        </is>
      </c>
      <c r="B3" s="3" t="inlineStr">
        <is>
          <t>Dependency ID
(from Phase 1)</t>
        </is>
      </c>
      <c r="C3" s="3" t="inlineStr">
        <is>
          <t>Dependency</t>
        </is>
      </c>
      <c r="D3" s="3" t="inlineStr">
        <is>
          <t>Failure Type</t>
        </is>
      </c>
      <c r="E3" s="3" t="inlineStr">
        <is>
          <t>Failure Description</t>
        </is>
      </c>
      <c r="F3" s="3" t="inlineStr">
        <is>
          <t>Detection
Mechanism</t>
        </is>
      </c>
      <c r="G3" s="3" t="inlineStr">
        <is>
          <t>Detection
Latency</t>
        </is>
      </c>
      <c r="H3" s="3" t="inlineStr">
        <is>
          <t>Detection
Confidence</t>
        </is>
      </c>
      <c r="I3" s="3" t="inlineStr">
        <is>
          <t>Impact Level
(see Severity Guide)</t>
        </is>
      </c>
      <c r="J3" s="3" t="inlineStr">
        <is>
          <t>Tested Fallback
In Place? (Y/N)</t>
        </is>
      </c>
      <c r="K3" s="3" t="inlineStr">
        <is>
          <t>Severity</t>
        </is>
      </c>
      <c r="L3" s="3" t="inlineStr">
        <is>
          <t>Silent Failure
Risk? (Y/N)</t>
        </is>
      </c>
      <c r="M3" s="3" t="inlineStr">
        <is>
          <t>Materialisation
Horizon</t>
        </is>
      </c>
      <c r="N3" s="3" t="inlineStr">
        <is>
          <t>Horizon
Score</t>
        </is>
      </c>
      <c r="O3" s="3" t="inlineStr">
        <is>
          <t>Downstream Impact
&amp; Propagation Path</t>
        </is>
      </c>
    </row>
    <row r="4">
      <c r="A4" s="4" t="inlineStr">
        <is>
          <t>FM-01</t>
        </is>
      </c>
      <c r="B4" s="5" t="inlineStr">
        <is>
          <t>DEP-01</t>
        </is>
      </c>
      <c r="C4" s="5" t="inlineStr">
        <is>
          <t>Base model (e.g. frontier model via API)</t>
        </is>
      </c>
      <c r="D4" s="5" t="inlineStr">
        <is>
          <t>Silent failure</t>
        </is>
      </c>
      <c r="E4" s="5" t="inlineStr">
        <is>
          <t>Model behaviour changes after vendor update without notification</t>
        </is>
      </c>
      <c r="F4" s="5" t="n"/>
      <c r="G4" s="5" t="n"/>
      <c r="H4" s="5" t="n"/>
      <c r="I4" s="5" t="n"/>
      <c r="J4" s="5" t="n"/>
      <c r="K4" s="6">
        <f>IF(I4="","",INDEX({"Critical","High","Medium","Low"},MIN(4,MATCH(I4,{"Critical","High","Medium","Low"},0)+IF(J4="Y",1,0))))</f>
        <v/>
      </c>
      <c r="L4" s="7">
        <f>IF(OR(D4="",H4=""),"",IF(AND(D4="Silent failure",OR(H4="Low",H4="None")),"Y","N"))</f>
        <v/>
      </c>
      <c r="M4" s="5" t="inlineStr">
        <is>
          <t>Imminent/ongoing</t>
        </is>
      </c>
      <c r="N4" s="6">
        <f>IF(M4="","",6-MATCH(M4,{"Imminent/ongoing","Days","Weeks","Months","Years"},0))</f>
        <v/>
      </c>
      <c r="O4" s="5" t="n"/>
    </row>
    <row r="5">
      <c r="A5" s="4" t="inlineStr">
        <is>
          <t>FM-02</t>
        </is>
      </c>
      <c r="B5" s="5" t="inlineStr">
        <is>
          <t>DEP-01</t>
        </is>
      </c>
      <c r="C5" s="5" t="inlineStr">
        <is>
          <t>Base model (e.g. frontier model via API)</t>
        </is>
      </c>
      <c r="D5" s="5" t="inlineStr">
        <is>
          <t>Contractual failure</t>
        </is>
      </c>
      <c r="E5" s="5" t="inlineStr">
        <is>
          <t>Model deprecated with insufficient migration time</t>
        </is>
      </c>
      <c r="F5" s="5" t="n"/>
      <c r="G5" s="5" t="n"/>
      <c r="H5" s="5" t="n"/>
      <c r="I5" s="5" t="n"/>
      <c r="J5" s="5" t="n"/>
      <c r="K5" s="6">
        <f>IF(I5="","",INDEX({"Critical","High","Medium","Low"},MIN(4,MATCH(I5,{"Critical","High","Medium","Low"},0)+IF(J5="Y",1,0))))</f>
        <v/>
      </c>
      <c r="L5" s="7">
        <f>IF(OR(D5="",H5=""),"",IF(AND(D5="Silent failure",OR(H5="Low",H5="None")),"Y","N"))</f>
        <v/>
      </c>
      <c r="M5" s="5" t="inlineStr">
        <is>
          <t>Months</t>
        </is>
      </c>
      <c r="N5" s="6">
        <f>IF(M5="","",6-MATCH(M5,{"Imminent/ongoing","Days","Weeks","Months","Years"},0))</f>
        <v/>
      </c>
      <c r="O5" s="5" t="n"/>
    </row>
    <row r="6">
      <c r="A6" s="4" t="inlineStr">
        <is>
          <t>FM-03</t>
        </is>
      </c>
      <c r="B6" s="5" t="inlineStr">
        <is>
          <t>DEP-10</t>
        </is>
      </c>
      <c r="C6" s="5" t="inlineStr">
        <is>
          <t>Cloud provider region</t>
        </is>
      </c>
      <c r="D6" s="5" t="inlineStr">
        <is>
          <t>Hard failure</t>
        </is>
      </c>
      <c r="E6" s="5" t="inlineStr">
        <is>
          <t>Full region outage</t>
        </is>
      </c>
      <c r="F6" s="5" t="n"/>
      <c r="G6" s="5" t="n"/>
      <c r="H6" s="5" t="n"/>
      <c r="I6" s="5" t="n"/>
      <c r="J6" s="5" t="n"/>
      <c r="K6" s="6">
        <f>IF(I6="","",INDEX({"Critical","High","Medium","Low"},MIN(4,MATCH(I6,{"Critical","High","Medium","Low"},0)+IF(J6="Y",1,0))))</f>
        <v/>
      </c>
      <c r="L6" s="7">
        <f>IF(OR(D6="",H6=""),"",IF(AND(D6="Silent failure",OR(H6="Low",H6="None")),"Y","N"))</f>
        <v/>
      </c>
      <c r="M6" s="5" t="inlineStr">
        <is>
          <t>Weeks</t>
        </is>
      </c>
      <c r="N6" s="6">
        <f>IF(M6="","",6-MATCH(M6,{"Imminent/ongoing","Days","Weeks","Months","Years"},0))</f>
        <v/>
      </c>
      <c r="O6" s="5" t="n"/>
    </row>
    <row r="7">
      <c r="A7" s="4" t="inlineStr">
        <is>
          <t>FM-04</t>
        </is>
      </c>
      <c r="B7" s="5" t="inlineStr">
        <is>
          <t>DEP-10</t>
        </is>
      </c>
      <c r="C7" s="5" t="inlineStr">
        <is>
          <t>Cloud provider region</t>
        </is>
      </c>
      <c r="D7" s="5" t="inlineStr">
        <is>
          <t>Degradation</t>
        </is>
      </c>
      <c r="E7" s="5" t="inlineStr">
        <is>
          <t>GPU throttling under load</t>
        </is>
      </c>
      <c r="F7" s="5" t="n"/>
      <c r="G7" s="5" t="n"/>
      <c r="H7" s="5" t="n"/>
      <c r="I7" s="5" t="n"/>
      <c r="J7" s="5" t="n"/>
      <c r="K7" s="6">
        <f>IF(I7="","",INDEX({"Critical","High","Medium","Low"},MIN(4,MATCH(I7,{"Critical","High","Medium","Low"},0)+IF(J7="Y",1,0))))</f>
        <v/>
      </c>
      <c r="L7" s="7">
        <f>IF(OR(D7="",H7=""),"",IF(AND(D7="Silent failure",OR(H7="Low",H7="None")),"Y","N"))</f>
        <v/>
      </c>
      <c r="M7" s="5" t="inlineStr">
        <is>
          <t>Weeks</t>
        </is>
      </c>
      <c r="N7" s="6">
        <f>IF(M7="","",6-MATCH(M7,{"Imminent/ongoing","Days","Weeks","Months","Years"},0))</f>
        <v/>
      </c>
      <c r="O7" s="5" t="n"/>
    </row>
    <row r="8">
      <c r="A8" s="4" t="inlineStr">
        <is>
          <t>FM-05</t>
        </is>
      </c>
      <c r="B8" s="5" t="inlineStr">
        <is>
          <t>DEP-12</t>
        </is>
      </c>
      <c r="C8" s="5" t="inlineStr">
        <is>
          <t>Training data pipeline</t>
        </is>
      </c>
      <c r="D8" s="5" t="inlineStr">
        <is>
          <t>Silent failure</t>
        </is>
      </c>
      <c r="E8" s="5" t="inlineStr">
        <is>
          <t>Data drift / distribution shift in input data</t>
        </is>
      </c>
      <c r="F8" s="5" t="n"/>
      <c r="G8" s="5" t="n"/>
      <c r="H8" s="5" t="n"/>
      <c r="I8" s="5" t="n"/>
      <c r="J8" s="5" t="n"/>
      <c r="K8" s="6">
        <f>IF(I8="","",INDEX({"Critical","High","Medium","Low"},MIN(4,MATCH(I8,{"Critical","High","Medium","Low"},0)+IF(J8="Y",1,0))))</f>
        <v/>
      </c>
      <c r="L8" s="7">
        <f>IF(OR(D8="",H8=""),"",IF(AND(D8="Silent failure",OR(H8="Low",H8="None")),"Y","N"))</f>
        <v/>
      </c>
      <c r="M8" s="5" t="inlineStr">
        <is>
          <t>Imminent/ongoing</t>
        </is>
      </c>
      <c r="N8" s="6">
        <f>IF(M8="","",6-MATCH(M8,{"Imminent/ongoing","Days","Weeks","Months","Years"},0))</f>
        <v/>
      </c>
      <c r="O8" s="5" t="n"/>
    </row>
    <row r="9">
      <c r="A9" s="4" t="inlineStr">
        <is>
          <t>FM-06</t>
        </is>
      </c>
      <c r="B9" s="5" t="inlineStr">
        <is>
          <t>DEP-14</t>
        </is>
      </c>
      <c r="C9" s="5" t="inlineStr">
        <is>
          <t>Third-party data feed</t>
        </is>
      </c>
      <c r="D9" s="5" t="inlineStr">
        <is>
          <t>Hard failure</t>
        </is>
      </c>
      <c r="E9" s="5" t="inlineStr">
        <is>
          <t>API returns errors / provider offline</t>
        </is>
      </c>
      <c r="F9" s="5" t="n"/>
      <c r="G9" s="5" t="n"/>
      <c r="H9" s="5" t="n"/>
      <c r="I9" s="5" t="n"/>
      <c r="J9" s="5" t="n"/>
      <c r="K9" s="6">
        <f>IF(I9="","",INDEX({"Critical","High","Medium","Low"},MIN(4,MATCH(I9,{"Critical","High","Medium","Low"},0)+IF(J9="Y",1,0))))</f>
        <v/>
      </c>
      <c r="L9" s="7">
        <f>IF(OR(D9="",H9=""),"",IF(AND(D9="Silent failure",OR(H9="Low",H9="None")),"Y","N"))</f>
        <v/>
      </c>
      <c r="M9" s="5" t="inlineStr">
        <is>
          <t>Weeks</t>
        </is>
      </c>
      <c r="N9" s="6">
        <f>IF(M9="","",6-MATCH(M9,{"Imminent/ongoing","Days","Weeks","Months","Years"},0))</f>
        <v/>
      </c>
      <c r="O9" s="5" t="n"/>
    </row>
    <row r="10">
      <c r="A10" s="4" t="inlineStr">
        <is>
          <t>FM-07</t>
        </is>
      </c>
      <c r="B10" s="5" t="inlineStr">
        <is>
          <t>DEP-14</t>
        </is>
      </c>
      <c r="C10" s="5" t="inlineStr">
        <is>
          <t>Third-party data feed</t>
        </is>
      </c>
      <c r="D10" s="5" t="inlineStr">
        <is>
          <t>Silent failure</t>
        </is>
      </c>
      <c r="E10" s="5" t="inlineStr">
        <is>
          <t>Data quality degrades without error signal</t>
        </is>
      </c>
      <c r="F10" s="5" t="n"/>
      <c r="G10" s="5" t="n"/>
      <c r="H10" s="5" t="n"/>
      <c r="I10" s="5" t="n"/>
      <c r="J10" s="5" t="n"/>
      <c r="K10" s="6">
        <f>IF(I10="","",INDEX({"Critical","High","Medium","Low"},MIN(4,MATCH(I10,{"Critical","High","Medium","Low"},0)+IF(J10="Y",1,0))))</f>
        <v/>
      </c>
      <c r="L10" s="7">
        <f>IF(OR(D10="",H10=""),"",IF(AND(D10="Silent failure",OR(H10="Low",H10="None")),"Y","N"))</f>
        <v/>
      </c>
      <c r="M10" s="5" t="inlineStr">
        <is>
          <t>Imminent/ongoing</t>
        </is>
      </c>
      <c r="N10" s="6">
        <f>IF(M10="","",6-MATCH(M10,{"Imminent/ongoing","Days","Weeks","Months","Years"},0))</f>
        <v/>
      </c>
      <c r="O10" s="5" t="n"/>
    </row>
    <row r="11">
      <c r="A11" s="4" t="inlineStr">
        <is>
          <t>FM-08</t>
        </is>
      </c>
      <c r="B11" s="5" t="inlineStr">
        <is>
          <t>DEP-11</t>
        </is>
      </c>
      <c r="C11" s="5" t="inlineStr">
        <is>
          <t>GPU/TPU compute</t>
        </is>
      </c>
      <c r="D11" s="5" t="inlineStr">
        <is>
          <t>Silent failure</t>
        </is>
      </c>
      <c r="E11" s="5" t="inlineStr">
        <is>
          <t>Silent data corruption in GPU fleet (~1/1000 machines)</t>
        </is>
      </c>
      <c r="F11" s="5" t="n"/>
      <c r="G11" s="5" t="n"/>
      <c r="H11" s="5" t="n"/>
      <c r="I11" s="5" t="n"/>
      <c r="J11" s="5" t="n"/>
      <c r="K11" s="6">
        <f>IF(I11="","",INDEX({"Critical","High","Medium","Low"},MIN(4,MATCH(I11,{"Critical","High","Medium","Low"},0)+IF(J11="Y",1,0))))</f>
        <v/>
      </c>
      <c r="L11" s="7">
        <f>IF(OR(D11="",H11=""),"",IF(AND(D11="Silent failure",OR(H11="Low",H11="None")),"Y","N"))</f>
        <v/>
      </c>
      <c r="M11" s="5" t="inlineStr">
        <is>
          <t>Imminent/ongoing</t>
        </is>
      </c>
      <c r="N11" s="6">
        <f>IF(M11="","",6-MATCH(M11,{"Imminent/ongoing","Days","Weeks","Months","Years"},0))</f>
        <v/>
      </c>
      <c r="O11" s="5" t="n"/>
    </row>
    <row r="12">
      <c r="A12" s="4" t="inlineStr">
        <is>
          <t>FM-09</t>
        </is>
      </c>
      <c r="B12" s="5" t="inlineStr">
        <is>
          <t>DEP-21</t>
        </is>
      </c>
      <c r="C12" s="5" t="inlineStr">
        <is>
          <t>Cloud SLA</t>
        </is>
      </c>
      <c r="D12" s="5" t="inlineStr">
        <is>
          <t>Contractual failure</t>
        </is>
      </c>
      <c r="E12" s="5" t="inlineStr">
        <is>
          <t>Provider modifies SLA terms or shared responsibility model</t>
        </is>
      </c>
      <c r="F12" s="5" t="n"/>
      <c r="G12" s="5" t="n"/>
      <c r="H12" s="5" t="n"/>
      <c r="I12" s="5" t="n"/>
      <c r="J12" s="5" t="n"/>
      <c r="K12" s="6">
        <f>IF(I12="","",INDEX({"Critical","High","Medium","Low"},MIN(4,MATCH(I12,{"Critical","High","Medium","Low"},0)+IF(J12="Y",1,0))))</f>
        <v/>
      </c>
      <c r="L12" s="7">
        <f>IF(OR(D12="",H12=""),"",IF(AND(D12="Silent failure",OR(H12="Low",H12="None")),"Y","N"))</f>
        <v/>
      </c>
      <c r="M12" s="5" t="inlineStr">
        <is>
          <t>Months</t>
        </is>
      </c>
      <c r="N12" s="6">
        <f>IF(M12="","",6-MATCH(M12,{"Imminent/ongoing","Days","Weeks","Months","Years"},0))</f>
        <v/>
      </c>
      <c r="O12" s="5" t="n"/>
    </row>
    <row r="13">
      <c r="A13" s="4" t="inlineStr">
        <is>
          <t>FM-10</t>
        </is>
      </c>
      <c r="B13" s="5" t="inlineStr">
        <is>
          <t>DEP-19</t>
        </is>
      </c>
      <c r="C13" s="5" t="inlineStr">
        <is>
          <t>Energy / power grid</t>
        </is>
      </c>
      <c r="D13" s="5" t="inlineStr">
        <is>
          <t>Hard failure</t>
        </is>
      </c>
      <c r="E13" s="5" t="inlineStr">
        <is>
          <t>Primary grid failure exceeding backup capacity</t>
        </is>
      </c>
      <c r="F13" s="5" t="n"/>
      <c r="G13" s="5" t="n"/>
      <c r="H13" s="5" t="n"/>
      <c r="I13" s="5" t="n"/>
      <c r="J13" s="5" t="n"/>
      <c r="K13" s="6">
        <f>IF(I13="","",INDEX({"Critical","High","Medium","Low"},MIN(4,MATCH(I13,{"Critical","High","Medium","Low"},0)+IF(J13="Y",1,0))))</f>
        <v/>
      </c>
      <c r="L13" s="7">
        <f>IF(OR(D13="",H13=""),"",IF(AND(D13="Silent failure",OR(H13="Low",H13="None")),"Y","N"))</f>
        <v/>
      </c>
      <c r="M13" s="5" t="inlineStr">
        <is>
          <t>Weeks</t>
        </is>
      </c>
      <c r="N13" s="6">
        <f>IF(M13="","",6-MATCH(M13,{"Imminent/ongoing","Days","Weeks","Months","Years"},0))</f>
        <v/>
      </c>
      <c r="O13" s="5" t="n"/>
    </row>
    <row r="14">
      <c r="A14" s="4" t="inlineStr">
        <is>
          <t>FM-11</t>
        </is>
      </c>
      <c r="B14" s="5" t="inlineStr">
        <is>
          <t>DEP-10</t>
        </is>
      </c>
      <c r="C14" s="5" t="inlineStr">
        <is>
          <t>Model + monitoring co-located</t>
        </is>
      </c>
      <c r="D14" s="5" t="inlineStr">
        <is>
          <t>Cascade failure</t>
        </is>
      </c>
      <c r="E14" s="5" t="inlineStr">
        <is>
          <t>Monitoring system fails simultaneously with the system it monitors</t>
        </is>
      </c>
      <c r="F14" s="5" t="n"/>
      <c r="G14" s="5" t="n"/>
      <c r="H14" s="5" t="n"/>
      <c r="I14" s="5" t="n"/>
      <c r="J14" s="5" t="n"/>
      <c r="K14" s="6">
        <f>IF(I14="","",INDEX({"Critical","High","Medium","Low"},MIN(4,MATCH(I14,{"Critical","High","Medium","Low"},0)+IF(J14="Y",1,0))))</f>
        <v/>
      </c>
      <c r="L14" s="7">
        <f>IF(OR(D14="",H14=""),"",IF(AND(D14="Silent failure",OR(H14="Low",H14="None")),"Y","N"))</f>
        <v/>
      </c>
      <c r="M14" s="5" t="inlineStr">
        <is>
          <t>Imminent/ongoing</t>
        </is>
      </c>
      <c r="N14" s="6">
        <f>IF(M14="","",6-MATCH(M14,{"Imminent/ongoing","Days","Weeks","Months","Years"},0))</f>
        <v/>
      </c>
      <c r="O14" s="5" t="n"/>
    </row>
    <row r="15">
      <c r="A15" s="4" t="inlineStr">
        <is>
          <t>FM-12</t>
        </is>
      </c>
      <c r="B15" s="5" t="inlineStr">
        <is>
          <t>DEP-09</t>
        </is>
      </c>
      <c r="C15" s="5" t="inlineStr">
        <is>
          <t>Human-in-the-loop</t>
        </is>
      </c>
      <c r="D15" s="5" t="inlineStr">
        <is>
          <t>Silent failure</t>
        </is>
      </c>
      <c r="E15" s="5" t="inlineStr">
        <is>
          <t>Human operators consistently follow AI output or approve agent actions without meaningful review — oversight is nominal, not actual</t>
        </is>
      </c>
      <c r="F15" s="5" t="n"/>
      <c r="G15" s="5" t="n"/>
      <c r="H15" s="5" t="n"/>
      <c r="I15" s="5" t="n"/>
      <c r="J15" s="5" t="n"/>
      <c r="K15" s="6">
        <f>IF(I15="","",INDEX({"Critical","High","Medium","Low"},MIN(4,MATCH(I15,{"Critical","High","Medium","Low"},0)+IF(J15="Y",1,0))))</f>
        <v/>
      </c>
      <c r="L15" s="7">
        <f>IF(OR(D15="",H15=""),"",IF(AND(D15="Silent failure",OR(H15="Low",H15="None")),"Y","N"))</f>
        <v/>
      </c>
      <c r="M15" s="5" t="inlineStr">
        <is>
          <t>Imminent/ongoing</t>
        </is>
      </c>
      <c r="N15" s="6">
        <f>IF(M15="","",6-MATCH(M15,{"Imminent/ongoing","Days","Weeks","Months","Years"},0))</f>
        <v/>
      </c>
      <c r="O15" s="5" t="n"/>
    </row>
    <row r="16">
      <c r="A16" s="4" t="inlineStr">
        <is>
          <t>FM-13</t>
        </is>
      </c>
      <c r="B16" s="5" t="inlineStr">
        <is>
          <t>DEP-05</t>
        </is>
      </c>
      <c r="C16" s="5" t="inlineStr">
        <is>
          <t>AI agent / model provider</t>
        </is>
      </c>
      <c r="D16" s="5" t="inlineStr">
        <is>
          <t>Silent failure</t>
        </is>
      </c>
      <c r="E16" s="5" t="inlineStr">
        <is>
          <t>Agent chooses the wrong tool or passes wrong arguments after a model update, and every call returns success</t>
        </is>
      </c>
      <c r="F16" s="5" t="n"/>
      <c r="G16" s="5" t="n"/>
      <c r="H16" s="5" t="n"/>
      <c r="I16" s="5" t="n"/>
      <c r="J16" s="5" t="n"/>
      <c r="K16" s="6">
        <f>IF(I16="","",INDEX({"Critical","High","Medium","Low"},MIN(4,MATCH(I16,{"Critical","High","Medium","Low"},0)+IF(J16="Y",1,0))))</f>
        <v/>
      </c>
      <c r="L16" s="7">
        <f>IF(OR(D16="",H16=""),"",IF(AND(D16="Silent failure",OR(H16="Low",H16="None")),"Y","N"))</f>
        <v/>
      </c>
      <c r="M16" s="5" t="inlineStr">
        <is>
          <t>Imminent/ongoing</t>
        </is>
      </c>
      <c r="N16" s="6">
        <f>IF(M16="","",6-MATCH(M16,{"Imminent/ongoing","Days","Weeks","Months","Years"},0))</f>
        <v/>
      </c>
      <c r="O16" s="5" t="n"/>
    </row>
    <row r="17">
      <c r="A17" s="4" t="inlineStr">
        <is>
          <t>FM-14</t>
        </is>
      </c>
      <c r="B17" s="5" t="inlineStr">
        <is>
          <t>DEP-08</t>
        </is>
      </c>
      <c r="C17" s="5" t="inlineStr">
        <is>
          <t>Agent credentials</t>
        </is>
      </c>
      <c r="D17" s="5" t="inlineStr">
        <is>
          <t>Silent failure</t>
        </is>
      </c>
      <c r="E17" s="5" t="inlineStr">
        <is>
          <t>Agent makes a configuration change in the wrong tenant or scope, and it is left in place unnoticed</t>
        </is>
      </c>
      <c r="F17" s="5" t="n"/>
      <c r="G17" s="5" t="n"/>
      <c r="H17" s="5" t="n"/>
      <c r="I17" s="5" t="n"/>
      <c r="J17" s="5" t="n"/>
      <c r="K17" s="6">
        <f>IF(I17="","",INDEX({"Critical","High","Medium","Low"},MIN(4,MATCH(I17,{"Critical","High","Medium","Low"},0)+IF(J17="Y",1,0))))</f>
        <v/>
      </c>
      <c r="L17" s="7">
        <f>IF(OR(D17="",H17=""),"",IF(AND(D17="Silent failure",OR(H17="Low",H17="None")),"Y","N"))</f>
        <v/>
      </c>
      <c r="M17" s="5" t="inlineStr">
        <is>
          <t>Imminent/ongoing</t>
        </is>
      </c>
      <c r="N17" s="6">
        <f>IF(M17="","",6-MATCH(M17,{"Imminent/ongoing","Days","Weeks","Months","Years"},0))</f>
        <v/>
      </c>
      <c r="O17" s="5" t="n"/>
    </row>
    <row r="18">
      <c r="A18" s="4" t="inlineStr">
        <is>
          <t>FM-15</t>
        </is>
      </c>
      <c r="B18" s="5" t="inlineStr">
        <is>
          <t>DEP-06</t>
        </is>
      </c>
      <c r="C18" s="5" t="inlineStr">
        <is>
          <t>MCP server (community-maintained)</t>
        </is>
      </c>
      <c r="D18" s="5" t="inlineStr">
        <is>
          <t>Silent failure</t>
        </is>
      </c>
      <c r="E18" s="5" t="inlineStr">
        <is>
          <t>New release changes a tool's behaviour or description; nothing checks the version or the description</t>
        </is>
      </c>
      <c r="F18" s="5" t="n"/>
      <c r="G18" s="5" t="n"/>
      <c r="H18" s="5" t="n"/>
      <c r="I18" s="5" t="n"/>
      <c r="J18" s="5" t="n"/>
      <c r="K18" s="6">
        <f>IF(I18="","",INDEX({"Critical","High","Medium","Low"},MIN(4,MATCH(I18,{"Critical","High","Medium","Low"},0)+IF(J18="Y",1,0))))</f>
        <v/>
      </c>
      <c r="L18" s="7">
        <f>IF(OR(D18="",H18=""),"",IF(AND(D18="Silent failure",OR(H18="Low",H18="None")),"Y","N"))</f>
        <v/>
      </c>
      <c r="M18" s="5" t="inlineStr">
        <is>
          <t>Weeks</t>
        </is>
      </c>
      <c r="N18" s="6">
        <f>IF(M18="","",6-MATCH(M18,{"Imminent/ongoing","Days","Weeks","Months","Years"},0))</f>
        <v/>
      </c>
      <c r="O18" s="5" t="n"/>
    </row>
    <row r="19">
      <c r="A19" s="4" t="inlineStr">
        <is>
          <t>FM-16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6">
        <f>IF(I19="","",INDEX({"Critical","High","Medium","Low"},MIN(4,MATCH(I19,{"Critical","High","Medium","Low"},0)+IF(J19="Y",1,0))))</f>
        <v/>
      </c>
      <c r="L19" s="7">
        <f>IF(OR(D19="",H19=""),"",IF(AND(D19="Silent failure",OR(H19="Low",H19="None")),"Y","N"))</f>
        <v/>
      </c>
      <c r="M19" s="5" t="n"/>
      <c r="N19" s="6">
        <f>IF(M19="","",6-MATCH(M19,{"Imminent/ongoing","Days","Weeks","Months","Years"},0))</f>
        <v/>
      </c>
      <c r="O19" s="5" t="n"/>
    </row>
    <row r="20">
      <c r="A20" s="4" t="inlineStr">
        <is>
          <t>FM-17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>
        <f>IF(I20="","",INDEX({"Critical","High","Medium","Low"},MIN(4,MATCH(I20,{"Critical","High","Medium","Low"},0)+IF(J20="Y",1,0))))</f>
        <v/>
      </c>
      <c r="L20" s="7">
        <f>IF(OR(D20="",H20=""),"",IF(AND(D20="Silent failure",OR(H20="Low",H20="None")),"Y","N"))</f>
        <v/>
      </c>
      <c r="M20" s="5" t="n"/>
      <c r="N20" s="6">
        <f>IF(M20="","",6-MATCH(M20,{"Imminent/ongoing","Days","Weeks","Months","Years"},0))</f>
        <v/>
      </c>
      <c r="O20" s="5" t="n"/>
    </row>
    <row r="21">
      <c r="A21" s="4" t="inlineStr">
        <is>
          <t>FM-18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6">
        <f>IF(I21="","",INDEX({"Critical","High","Medium","Low"},MIN(4,MATCH(I21,{"Critical","High","Medium","Low"},0)+IF(J21="Y",1,0))))</f>
        <v/>
      </c>
      <c r="L21" s="7">
        <f>IF(OR(D21="",H21=""),"",IF(AND(D21="Silent failure",OR(H21="Low",H21="None")),"Y","N"))</f>
        <v/>
      </c>
      <c r="M21" s="5" t="n"/>
      <c r="N21" s="6">
        <f>IF(M21="","",6-MATCH(M21,{"Imminent/ongoing","Days","Weeks","Months","Years"},0))</f>
        <v/>
      </c>
      <c r="O21" s="5" t="n"/>
    </row>
    <row r="22">
      <c r="A22" s="4" t="inlineStr">
        <is>
          <t>FM-19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6">
        <f>IF(I22="","",INDEX({"Critical","High","Medium","Low"},MIN(4,MATCH(I22,{"Critical","High","Medium","Low"},0)+IF(J22="Y",1,0))))</f>
        <v/>
      </c>
      <c r="L22" s="7">
        <f>IF(OR(D22="",H22=""),"",IF(AND(D22="Silent failure",OR(H22="Low",H22="None")),"Y","N"))</f>
        <v/>
      </c>
      <c r="M22" s="5" t="n"/>
      <c r="N22" s="6">
        <f>IF(M22="","",6-MATCH(M22,{"Imminent/ongoing","Days","Weeks","Months","Years"},0))</f>
        <v/>
      </c>
      <c r="O22" s="5" t="n"/>
    </row>
    <row r="23">
      <c r="A23" s="4" t="inlineStr">
        <is>
          <t>FM-20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>
        <f>IF(I23="","",INDEX({"Critical","High","Medium","Low"},MIN(4,MATCH(I23,{"Critical","High","Medium","Low"},0)+IF(J23="Y",1,0))))</f>
        <v/>
      </c>
      <c r="L23" s="7">
        <f>IF(OR(D23="",H23=""),"",IF(AND(D23="Silent failure",OR(H23="Low",H23="None")),"Y","N"))</f>
        <v/>
      </c>
      <c r="M23" s="5" t="n"/>
      <c r="N23" s="6">
        <f>IF(M23="","",6-MATCH(M23,{"Imminent/ongoing","Days","Weeks","Months","Years"},0))</f>
        <v/>
      </c>
      <c r="O23" s="5" t="n"/>
    </row>
    <row r="24">
      <c r="A24" s="4" t="inlineStr">
        <is>
          <t>FM-21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>
        <f>IF(I24="","",INDEX({"Critical","High","Medium","Low"},MIN(4,MATCH(I24,{"Critical","High","Medium","Low"},0)+IF(J24="Y",1,0))))</f>
        <v/>
      </c>
      <c r="L24" s="7">
        <f>IF(OR(D24="",H24=""),"",IF(AND(D24="Silent failure",OR(H24="Low",H24="None")),"Y","N"))</f>
        <v/>
      </c>
      <c r="M24" s="5" t="n"/>
      <c r="N24" s="6">
        <f>IF(M24="","",6-MATCH(M24,{"Imminent/ongoing","Days","Weeks","Months","Years"},0))</f>
        <v/>
      </c>
      <c r="O24" s="5" t="n"/>
    </row>
    <row r="25">
      <c r="A25" s="4" t="inlineStr">
        <is>
          <t>FM-22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6">
        <f>IF(I25="","",INDEX({"Critical","High","Medium","Low"},MIN(4,MATCH(I25,{"Critical","High","Medium","Low"},0)+IF(J25="Y",1,0))))</f>
        <v/>
      </c>
      <c r="L25" s="7">
        <f>IF(OR(D25="",H25=""),"",IF(AND(D25="Silent failure",OR(H25="Low",H25="None")),"Y","N"))</f>
        <v/>
      </c>
      <c r="M25" s="5" t="n"/>
      <c r="N25" s="6">
        <f>IF(M25="","",6-MATCH(M25,{"Imminent/ongoing","Days","Weeks","Months","Years"},0))</f>
        <v/>
      </c>
      <c r="O25" s="5" t="n"/>
    </row>
    <row r="26">
      <c r="A26" s="4" t="inlineStr">
        <is>
          <t>FM-23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6">
        <f>IF(I26="","",INDEX({"Critical","High","Medium","Low"},MIN(4,MATCH(I26,{"Critical","High","Medium","Low"},0)+IF(J26="Y",1,0))))</f>
        <v/>
      </c>
      <c r="L26" s="7">
        <f>IF(OR(D26="",H26=""),"",IF(AND(D26="Silent failure",OR(H26="Low",H26="None")),"Y","N"))</f>
        <v/>
      </c>
      <c r="M26" s="5" t="n"/>
      <c r="N26" s="6">
        <f>IF(M26="","",6-MATCH(M26,{"Imminent/ongoing","Days","Weeks","Months","Years"},0))</f>
        <v/>
      </c>
      <c r="O26" s="5" t="n"/>
    </row>
    <row r="27">
      <c r="A27" s="4" t="inlineStr">
        <is>
          <t>FM-24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6">
        <f>IF(I27="","",INDEX({"Critical","High","Medium","Low"},MIN(4,MATCH(I27,{"Critical","High","Medium","Low"},0)+IF(J27="Y",1,0))))</f>
        <v/>
      </c>
      <c r="L27" s="7">
        <f>IF(OR(D27="",H27=""),"",IF(AND(D27="Silent failure",OR(H27="Low",H27="None")),"Y","N"))</f>
        <v/>
      </c>
      <c r="M27" s="5" t="n"/>
      <c r="N27" s="6">
        <f>IF(M27="","",6-MATCH(M27,{"Imminent/ongoing","Days","Weeks","Months","Years"},0))</f>
        <v/>
      </c>
      <c r="O27" s="5" t="n"/>
    </row>
    <row r="28">
      <c r="A28" s="4" t="inlineStr">
        <is>
          <t>FM-25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6">
        <f>IF(I28="","",INDEX({"Critical","High","Medium","Low"},MIN(4,MATCH(I28,{"Critical","High","Medium","Low"},0)+IF(J28="Y",1,0))))</f>
        <v/>
      </c>
      <c r="L28" s="7">
        <f>IF(OR(D28="",H28=""),"",IF(AND(D28="Silent failure",OR(H28="Low",H28="None")),"Y","N"))</f>
        <v/>
      </c>
      <c r="M28" s="5" t="n"/>
      <c r="N28" s="6">
        <f>IF(M28="","",6-MATCH(M28,{"Imminent/ongoing","Days","Weeks","Months","Years"},0))</f>
        <v/>
      </c>
      <c r="O28" s="5" t="n"/>
    </row>
    <row r="29">
      <c r="A29" s="4" t="inlineStr">
        <is>
          <t>FM-26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6">
        <f>IF(I29="","",INDEX({"Critical","High","Medium","Low"},MIN(4,MATCH(I29,{"Critical","High","Medium","Low"},0)+IF(J29="Y",1,0))))</f>
        <v/>
      </c>
      <c r="L29" s="7">
        <f>IF(OR(D29="",H29=""),"",IF(AND(D29="Silent failure",OR(H29="Low",H29="None")),"Y","N"))</f>
        <v/>
      </c>
      <c r="M29" s="5" t="n"/>
      <c r="N29" s="6">
        <f>IF(M29="","",6-MATCH(M29,{"Imminent/ongoing","Days","Weeks","Months","Years"},0))</f>
        <v/>
      </c>
      <c r="O29" s="5" t="n"/>
    </row>
    <row r="30">
      <c r="A30" s="4" t="inlineStr">
        <is>
          <t>FM-27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6">
        <f>IF(I30="","",INDEX({"Critical","High","Medium","Low"},MIN(4,MATCH(I30,{"Critical","High","Medium","Low"},0)+IF(J30="Y",1,0))))</f>
        <v/>
      </c>
      <c r="L30" s="7">
        <f>IF(OR(D30="",H30=""),"",IF(AND(D30="Silent failure",OR(H30="Low",H30="None")),"Y","N"))</f>
        <v/>
      </c>
      <c r="M30" s="5" t="n"/>
      <c r="N30" s="6">
        <f>IF(M30="","",6-MATCH(M30,{"Imminent/ongoing","Days","Weeks","Months","Years"},0))</f>
        <v/>
      </c>
      <c r="O30" s="5" t="n"/>
    </row>
    <row r="31">
      <c r="A31" s="4" t="inlineStr">
        <is>
          <t>FM-28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6">
        <f>IF(I31="","",INDEX({"Critical","High","Medium","Low"},MIN(4,MATCH(I31,{"Critical","High","Medium","Low"},0)+IF(J31="Y",1,0))))</f>
        <v/>
      </c>
      <c r="L31" s="7">
        <f>IF(OR(D31="",H31=""),"",IF(AND(D31="Silent failure",OR(H31="Low",H31="None")),"Y","N"))</f>
        <v/>
      </c>
      <c r="M31" s="5" t="n"/>
      <c r="N31" s="6">
        <f>IF(M31="","",6-MATCH(M31,{"Imminent/ongoing","Days","Weeks","Months","Years"},0))</f>
        <v/>
      </c>
      <c r="O31" s="5" t="n"/>
    </row>
    <row r="32">
      <c r="A32" s="4" t="inlineStr">
        <is>
          <t>FM-29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6">
        <f>IF(I32="","",INDEX({"Critical","High","Medium","Low"},MIN(4,MATCH(I32,{"Critical","High","Medium","Low"},0)+IF(J32="Y",1,0))))</f>
        <v/>
      </c>
      <c r="L32" s="7">
        <f>IF(OR(D32="",H32=""),"",IF(AND(D32="Silent failure",OR(H32="Low",H32="None")),"Y","N"))</f>
        <v/>
      </c>
      <c r="M32" s="5" t="n"/>
      <c r="N32" s="6">
        <f>IF(M32="","",6-MATCH(M32,{"Imminent/ongoing","Days","Weeks","Months","Years"},0))</f>
        <v/>
      </c>
      <c r="O32" s="5" t="n"/>
    </row>
    <row r="33">
      <c r="A33" s="4" t="inlineStr">
        <is>
          <t>FM-30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6">
        <f>IF(I33="","",INDEX({"Critical","High","Medium","Low"},MIN(4,MATCH(I33,{"Critical","High","Medium","Low"},0)+IF(J33="Y",1,0))))</f>
        <v/>
      </c>
      <c r="L33" s="7">
        <f>IF(OR(D33="",H33=""),"",IF(AND(D33="Silent failure",OR(H33="Low",H33="None")),"Y","N"))</f>
        <v/>
      </c>
      <c r="M33" s="5" t="n"/>
      <c r="N33" s="6">
        <f>IF(M33="","",6-MATCH(M33,{"Imminent/ongoing","Days","Weeks","Months","Years"},0))</f>
        <v/>
      </c>
      <c r="O33" s="5" t="n"/>
    </row>
    <row r="34">
      <c r="A34" s="4" t="inlineStr">
        <is>
          <t>FM-31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6">
        <f>IF(I34="","",INDEX({"Critical","High","Medium","Low"},MIN(4,MATCH(I34,{"Critical","High","Medium","Low"},0)+IF(J34="Y",1,0))))</f>
        <v/>
      </c>
      <c r="L34" s="7">
        <f>IF(OR(D34="",H34=""),"",IF(AND(D34="Silent failure",OR(H34="Low",H34="None")),"Y","N"))</f>
        <v/>
      </c>
      <c r="M34" s="5" t="n"/>
      <c r="N34" s="6">
        <f>IF(M34="","",6-MATCH(M34,{"Imminent/ongoing","Days","Weeks","Months","Years"},0))</f>
        <v/>
      </c>
      <c r="O34" s="5" t="n"/>
    </row>
    <row r="35">
      <c r="A35" s="4" t="inlineStr">
        <is>
          <t>FM-32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6">
        <f>IF(I35="","",INDEX({"Critical","High","Medium","Low"},MIN(4,MATCH(I35,{"Critical","High","Medium","Low"},0)+IF(J35="Y",1,0))))</f>
        <v/>
      </c>
      <c r="L35" s="7">
        <f>IF(OR(D35="",H35=""),"",IF(AND(D35="Silent failure",OR(H35="Low",H35="None")),"Y","N"))</f>
        <v/>
      </c>
      <c r="M35" s="5" t="n"/>
      <c r="N35" s="6">
        <f>IF(M35="","",6-MATCH(M35,{"Imminent/ongoing","Days","Weeks","Months","Years"},0))</f>
        <v/>
      </c>
      <c r="O35" s="5" t="n"/>
    </row>
    <row r="36">
      <c r="A36" s="4" t="inlineStr">
        <is>
          <t>FM-33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6">
        <f>IF(I36="","",INDEX({"Critical","High","Medium","Low"},MIN(4,MATCH(I36,{"Critical","High","Medium","Low"},0)+IF(J36="Y",1,0))))</f>
        <v/>
      </c>
      <c r="L36" s="7">
        <f>IF(OR(D36="",H36=""),"",IF(AND(D36="Silent failure",OR(H36="Low",H36="None")),"Y","N"))</f>
        <v/>
      </c>
      <c r="M36" s="5" t="n"/>
      <c r="N36" s="6">
        <f>IF(M36="","",6-MATCH(M36,{"Imminent/ongoing","Days","Weeks","Months","Years"},0))</f>
        <v/>
      </c>
      <c r="O36" s="5" t="n"/>
    </row>
    <row r="37">
      <c r="A37" s="4" t="inlineStr">
        <is>
          <t>FM-34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6">
        <f>IF(I37="","",INDEX({"Critical","High","Medium","Low"},MIN(4,MATCH(I37,{"Critical","High","Medium","Low"},0)+IF(J37="Y",1,0))))</f>
        <v/>
      </c>
      <c r="L37" s="7">
        <f>IF(OR(D37="",H37=""),"",IF(AND(D37="Silent failure",OR(H37="Low",H37="None")),"Y","N"))</f>
        <v/>
      </c>
      <c r="M37" s="5" t="n"/>
      <c r="N37" s="6">
        <f>IF(M37="","",6-MATCH(M37,{"Imminent/ongoing","Days","Weeks","Months","Years"},0))</f>
        <v/>
      </c>
      <c r="O37" s="5" t="n"/>
    </row>
    <row r="38">
      <c r="A38" s="4" t="inlineStr">
        <is>
          <t>FM-35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6">
        <f>IF(I38="","",INDEX({"Critical","High","Medium","Low"},MIN(4,MATCH(I38,{"Critical","High","Medium","Low"},0)+IF(J38="Y",1,0))))</f>
        <v/>
      </c>
      <c r="L38" s="7">
        <f>IF(OR(D38="",H38=""),"",IF(AND(D38="Silent failure",OR(H38="Low",H38="None")),"Y","N"))</f>
        <v/>
      </c>
      <c r="M38" s="5" t="n"/>
      <c r="N38" s="6">
        <f>IF(M38="","",6-MATCH(M38,{"Imminent/ongoing","Days","Weeks","Months","Years"},0))</f>
        <v/>
      </c>
      <c r="O38" s="5" t="n"/>
    </row>
    <row r="39">
      <c r="A39" s="4" t="inlineStr">
        <is>
          <t>FM-36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6">
        <f>IF(I39="","",INDEX({"Critical","High","Medium","Low"},MIN(4,MATCH(I39,{"Critical","High","Medium","Low"},0)+IF(J39="Y",1,0))))</f>
        <v/>
      </c>
      <c r="L39" s="7">
        <f>IF(OR(D39="",H39=""),"",IF(AND(D39="Silent failure",OR(H39="Low",H39="None")),"Y","N"))</f>
        <v/>
      </c>
      <c r="M39" s="5" t="n"/>
      <c r="N39" s="6">
        <f>IF(M39="","",6-MATCH(M39,{"Imminent/ongoing","Days","Weeks","Months","Years"},0))</f>
        <v/>
      </c>
      <c r="O39" s="5" t="n"/>
    </row>
    <row r="40">
      <c r="A40" s="4" t="inlineStr">
        <is>
          <t>FM-37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6">
        <f>IF(I40="","",INDEX({"Critical","High","Medium","Low"},MIN(4,MATCH(I40,{"Critical","High","Medium","Low"},0)+IF(J40="Y",1,0))))</f>
        <v/>
      </c>
      <c r="L40" s="7">
        <f>IF(OR(D40="",H40=""),"",IF(AND(D40="Silent failure",OR(H40="Low",H40="None")),"Y","N"))</f>
        <v/>
      </c>
      <c r="M40" s="5" t="n"/>
      <c r="N40" s="6">
        <f>IF(M40="","",6-MATCH(M40,{"Imminent/ongoing","Days","Weeks","Months","Years"},0))</f>
        <v/>
      </c>
      <c r="O40" s="5" t="n"/>
    </row>
    <row r="41">
      <c r="A41" s="4" t="inlineStr">
        <is>
          <t>FM-38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6">
        <f>IF(I41="","",INDEX({"Critical","High","Medium","Low"},MIN(4,MATCH(I41,{"Critical","High","Medium","Low"},0)+IF(J41="Y",1,0))))</f>
        <v/>
      </c>
      <c r="L41" s="7">
        <f>IF(OR(D41="",H41=""),"",IF(AND(D41="Silent failure",OR(H41="Low",H41="None")),"Y","N"))</f>
        <v/>
      </c>
      <c r="M41" s="5" t="n"/>
      <c r="N41" s="6">
        <f>IF(M41="","",6-MATCH(M41,{"Imminent/ongoing","Days","Weeks","Months","Years"},0))</f>
        <v/>
      </c>
      <c r="O41" s="5" t="n"/>
    </row>
    <row r="42">
      <c r="A42" s="4" t="inlineStr">
        <is>
          <t>FM-39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6">
        <f>IF(I42="","",INDEX({"Critical","High","Medium","Low"},MIN(4,MATCH(I42,{"Critical","High","Medium","Low"},0)+IF(J42="Y",1,0))))</f>
        <v/>
      </c>
      <c r="L42" s="7">
        <f>IF(OR(D42="",H42=""),"",IF(AND(D42="Silent failure",OR(H42="Low",H42="None")),"Y","N"))</f>
        <v/>
      </c>
      <c r="M42" s="5" t="n"/>
      <c r="N42" s="6">
        <f>IF(M42="","",6-MATCH(M42,{"Imminent/ongoing","Days","Weeks","Months","Years"},0))</f>
        <v/>
      </c>
      <c r="O42" s="5" t="n"/>
    </row>
    <row r="43">
      <c r="A43" s="4" t="inlineStr">
        <is>
          <t>FM-40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6">
        <f>IF(I43="","",INDEX({"Critical","High","Medium","Low"},MIN(4,MATCH(I43,{"Critical","High","Medium","Low"},0)+IF(J43="Y",1,0))))</f>
        <v/>
      </c>
      <c r="L43" s="7">
        <f>IF(OR(D43="",H43=""),"",IF(AND(D43="Silent failure",OR(H43="Low",H43="None")),"Y","N"))</f>
        <v/>
      </c>
      <c r="M43" s="5" t="n"/>
      <c r="N43" s="6">
        <f>IF(M43="","",6-MATCH(M43,{"Imminent/ongoing","Days","Weeks","Months","Years"},0))</f>
        <v/>
      </c>
      <c r="O43" s="5" t="n"/>
    </row>
  </sheetData>
  <mergeCells count="2">
    <mergeCell ref="A1:O1"/>
    <mergeCell ref="A2:O2"/>
  </mergeCells>
  <dataValidations count="6">
    <dataValidation sqref="D4:D43" showDropDown="0" showInputMessage="0" showErrorMessage="1" allowBlank="1" errorTitle="OSRA" error="Choose a value from the list." type="list">
      <formula1>"Hard failure,Degradation,Silent failure,Contractual failure,Cascade failure"</formula1>
    </dataValidation>
    <dataValidation sqref="G4:G43" showDropDown="0" showInputMessage="0" showErrorMessage="1" allowBlank="1" errorTitle="OSRA" error="Choose a value from the list." type="list">
      <formula1>"Seconds,Minutes,Hours,Days,Never"</formula1>
    </dataValidation>
    <dataValidation sqref="H4:H43" showDropDown="0" showInputMessage="0" showErrorMessage="1" allowBlank="1" errorTitle="OSRA" error="Choose a value from the list." type="list">
      <formula1>"High,Medium,Low,None"</formula1>
    </dataValidation>
    <dataValidation sqref="I4:I43" showDropDown="0" showInputMessage="0" showErrorMessage="1" allowBlank="1" errorTitle="OSRA" error="Choose a value from the list." type="list">
      <formula1>"Critical,High,Medium,Low"</formula1>
    </dataValidation>
    <dataValidation sqref="J4:J43" showDropDown="0" showInputMessage="0" showErrorMessage="1" allowBlank="1" errorTitle="OSRA" error="Choose a value from the list." type="list">
      <formula1>"Y,N"</formula1>
    </dataValidation>
    <dataValidation sqref="M4:M43" showDropDown="0" showInputMessage="0" showErrorMessage="1" allowBlank="1" errorTitle="OSRA" error="Choose a value from the list." type="list">
      <formula1>"Imminent/ongoing,Days,Weeks,Months,Years"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</cols>
  <sheetData>
    <row r="1">
      <c r="A1" s="3" t="inlineStr">
        <is>
          <t>Failure Type</t>
        </is>
      </c>
      <c r="B1" s="3" t="inlineStr">
        <is>
          <t>Definition</t>
        </is>
      </c>
      <c r="C1" s="3" t="inlineStr">
        <is>
          <t>Example</t>
        </is>
      </c>
    </row>
    <row r="2">
      <c r="A2" s="8" t="inlineStr">
        <is>
          <t>Hard failure</t>
        </is>
      </c>
      <c r="B2" s="8" t="inlineStr">
        <is>
          <t>Dependency stops functioning entirely. Observable and immediate.</t>
        </is>
      </c>
      <c r="C2" s="8" t="inlineStr">
        <is>
          <t>Cloud region outage. API returns 5xx. Service unreachable.</t>
        </is>
      </c>
    </row>
    <row r="3">
      <c r="A3" s="8" t="inlineStr">
        <is>
          <t>Degradation</t>
        </is>
      </c>
      <c r="B3" s="8" t="inlineStr">
        <is>
          <t>Dependency functions with reduced performance, accuracy, or capacity. May or may not be observable.</t>
        </is>
      </c>
      <c r="C3" s="8" t="inlineStr">
        <is>
          <t>GPU throttling. Increased latency. Data pipeline backlog.</t>
        </is>
      </c>
    </row>
    <row r="4">
      <c r="A4" s="8" t="inlineStr">
        <is>
          <t>Silent failure</t>
        </is>
      </c>
      <c r="B4" s="8" t="inlineStr">
        <is>
          <t>Dependency appears to function normally but produces incorrect, biased, or corrupted outputs. Not observable through standard monitoring.</t>
        </is>
      </c>
      <c r="C4" s="8" t="inlineStr">
        <is>
          <t>Model drift after vendor update. Stale data with no error signal. GPU silent data corruption. Agent choosing the wrong tool while every call succeeds.</t>
        </is>
      </c>
    </row>
    <row r="5">
      <c r="A5" s="8" t="inlineStr">
        <is>
          <t>Contractual failure</t>
        </is>
      </c>
      <c r="B5" s="8" t="inlineStr">
        <is>
          <t>Dependency functions technically but legal/contractual basis changes.</t>
        </is>
      </c>
      <c r="C5" s="8" t="inlineStr">
        <is>
          <t>SLA modification. Provider acquisition. TOS change. Deprecation. Jurisdiction change.</t>
        </is>
      </c>
    </row>
    <row r="6">
      <c r="A6" s="8" t="inlineStr">
        <is>
          <t>Cascade failure</t>
        </is>
      </c>
      <c r="B6" s="8" t="inlineStr">
        <is>
          <t>Failure in one dependency triggers failures in others that share substrate.</t>
        </is>
      </c>
      <c r="C6" s="8" t="inlineStr">
        <is>
          <t>Region outage affecting both AI inference and monitoring. Shared API gateway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3" t="inlineStr">
        <is>
          <t>Impact Level</t>
        </is>
      </c>
      <c r="B1" s="3" t="inlineStr">
        <is>
          <t>The failure affects...</t>
        </is>
      </c>
    </row>
    <row r="2">
      <c r="A2" s="8" t="inlineStr">
        <is>
          <t>Critical</t>
        </is>
      </c>
      <c r="B2" s="8" t="inlineStr">
        <is>
          <t>Regulated decisions, customer-facing outputs, or financial transactions</t>
        </is>
      </c>
    </row>
    <row r="3">
      <c r="A3" s="8" t="inlineStr">
        <is>
          <t>High</t>
        </is>
      </c>
      <c r="B3" s="8" t="inlineStr">
        <is>
          <t>Important business processes</t>
        </is>
      </c>
    </row>
    <row r="4">
      <c r="A4" s="8" t="inlineStr">
        <is>
          <t>Medium</t>
        </is>
      </c>
      <c r="B4" s="8" t="inlineStr">
        <is>
          <t>Internal processes</t>
        </is>
      </c>
    </row>
    <row r="5">
      <c r="A5" s="8" t="inlineStr">
        <is>
          <t>Low</t>
        </is>
      </c>
      <c r="B5" s="8" t="inlineStr">
        <is>
          <t>Non-critical functions</t>
        </is>
      </c>
    </row>
    <row r="8" ht="15" customHeight="1">
      <c r="A8" s="9" t="inlineStr">
        <is>
          <t>HOW SEVERITY IS DECIDED (v1.2)</t>
        </is>
      </c>
    </row>
    <row r="9" ht="15" customHeight="1">
      <c r="A9" s="10" t="inlineStr">
        <is>
          <t>1. Take the Impact Level from the table above.</t>
        </is>
      </c>
    </row>
    <row r="10" ht="30" customHeight="1">
      <c r="A10" s="10" t="inlineStr">
        <is>
          <t>2. If a fallback is in place AND has been tested, lower the level by one (Low stays Low). An untested, limited or absent fallback leaves the level unchanged; record the untested fallback as a trust signal in Phase 3.</t>
        </is>
      </c>
    </row>
    <row r="11" ht="30" customHeight="1">
      <c r="A11" s="10" t="inlineStr">
        <is>
          <t>3. Detection latency and confidence do NOT enter severity. They decide Silent Failure Risk (condition 2 in Phase 4) and the Detection Deficit score. Counting detection in severity as well would count it twice.</t>
        </is>
      </c>
    </row>
    <row r="12" ht="15" customHeight="1">
      <c r="A12" s="10" t="inlineStr">
        <is>
          <t>The Severity column applies steps 1 and 2 automatically.</t>
        </is>
      </c>
    </row>
  </sheetData>
  <mergeCells count="5">
    <mergeCell ref="A11:B11"/>
    <mergeCell ref="A10:B10"/>
    <mergeCell ref="A9:B9"/>
    <mergeCell ref="A8:B8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1" t="inlineStr">
        <is>
          <t>DETECTION LATENCY</t>
        </is>
      </c>
    </row>
    <row r="2">
      <c r="A2" s="3" t="inlineStr">
        <is>
          <t>Value</t>
        </is>
      </c>
      <c r="B2" s="3" t="inlineStr">
        <is>
          <t>Meaning</t>
        </is>
      </c>
    </row>
    <row r="3">
      <c r="A3" s="8" t="inlineStr">
        <is>
          <t>Seconds</t>
        </is>
      </c>
      <c r="B3" s="8" t="inlineStr">
        <is>
          <t>Automated alerting fires immediately on failure signal</t>
        </is>
      </c>
    </row>
    <row r="4">
      <c r="A4" s="8" t="inlineStr">
        <is>
          <t>Minutes</t>
        </is>
      </c>
      <c r="B4" s="8" t="inlineStr">
        <is>
          <t>Monitoring catches it within a monitoring cycle</t>
        </is>
      </c>
    </row>
    <row r="5">
      <c r="A5" s="8" t="inlineStr">
        <is>
          <t>Hours</t>
        </is>
      </c>
      <c r="B5" s="8" t="inlineStr">
        <is>
          <t>Detected during shift handover, daily check, or user complaint</t>
        </is>
      </c>
    </row>
    <row r="6">
      <c r="A6" s="8" t="inlineStr">
        <is>
          <t>Days</t>
        </is>
      </c>
      <c r="B6" s="8" t="inlineStr">
        <is>
          <t>Discovered during periodic review, audit, or incident investigation</t>
        </is>
      </c>
    </row>
    <row r="7">
      <c r="A7" s="8" t="inlineStr">
        <is>
          <t>Never</t>
        </is>
      </c>
      <c r="B7" s="8" t="inlineStr">
        <is>
          <t>No mechanism exists to detect this failure type. Silent and persistent.</t>
        </is>
      </c>
    </row>
    <row r="9">
      <c r="A9" s="11" t="inlineStr">
        <is>
          <t>DETECTION CONFIDENCE</t>
        </is>
      </c>
    </row>
    <row r="10">
      <c r="A10" s="3" t="inlineStr">
        <is>
          <t>Value</t>
        </is>
      </c>
      <c r="B10" s="3" t="inlineStr">
        <is>
          <t>Meaning</t>
        </is>
      </c>
    </row>
    <row r="11">
      <c r="A11" s="8" t="inlineStr">
        <is>
          <t>High</t>
        </is>
      </c>
      <c r="B11" s="8" t="inlineStr">
        <is>
          <t>The named mechanism responds to this failure mode itself and has been seen to catch it</t>
        </is>
      </c>
    </row>
    <row r="12">
      <c r="A12" s="8" t="inlineStr">
        <is>
          <t>Medium</t>
        </is>
      </c>
      <c r="B12" s="8" t="inlineStr">
        <is>
          <t>The mechanism would probably catch it, but has not been tested against this failure mode</t>
        </is>
      </c>
    </row>
    <row r="13">
      <c r="A13" s="8" t="inlineStr">
        <is>
          <t>Low</t>
        </is>
      </c>
      <c r="B13" s="8" t="inlineStr">
        <is>
          <t>The mechanism measures something adjacent and might catch it by chance</t>
        </is>
      </c>
    </row>
    <row r="14">
      <c r="A14" s="8" t="inlineStr">
        <is>
          <t>None</t>
        </is>
      </c>
      <c r="B14" s="8" t="inlineStr">
        <is>
          <t>No mechanism responds to this failure mode</t>
        </is>
      </c>
    </row>
    <row r="16">
      <c r="A16" s="11" t="inlineStr">
        <is>
          <t>MATERIALISATION HORIZON</t>
        </is>
      </c>
    </row>
    <row r="17">
      <c r="A17" s="3" t="inlineStr">
        <is>
          <t>Value</t>
        </is>
      </c>
      <c r="B17" s="3" t="inlineStr">
        <is>
          <t>Meaning</t>
        </is>
      </c>
    </row>
    <row r="18">
      <c r="A18" s="8" t="inlineStr">
        <is>
          <t>Imminent/ongoing</t>
        </is>
      </c>
      <c r="B18" s="8" t="inlineStr">
        <is>
          <t>This failure may already be occurring. Silent failures in production systems (model drift, data staleness, GPU corruption) fall here. Score: 5</t>
        </is>
      </c>
    </row>
    <row r="19">
      <c r="A19" s="8" t="inlineStr">
        <is>
          <t>Days</t>
        </is>
      </c>
      <c r="B19" s="8" t="inlineStr">
        <is>
          <t>A known change or event is expected within days. Score: 4</t>
        </is>
      </c>
    </row>
    <row r="20">
      <c r="A20" s="8" t="inlineStr">
        <is>
          <t>Weeks</t>
        </is>
      </c>
      <c r="B20" s="8" t="inlineStr">
        <is>
          <t>Unpredictable but could happen at any time (outages, degradation events). Score: 3</t>
        </is>
      </c>
    </row>
    <row r="21">
      <c r="A21" s="8" t="inlineStr">
        <is>
          <t>Months</t>
        </is>
      </c>
      <c r="B21" s="8" t="inlineStr">
        <is>
          <t>Known timeline (contract expiry, regulatory deadline, planned migration). Score: 2</t>
        </is>
      </c>
    </row>
    <row r="22">
      <c r="A22" s="8" t="inlineStr">
        <is>
          <t>Years</t>
        </is>
      </c>
      <c r="B22" s="8" t="inlineStr">
        <is>
          <t>Slow-moving regulatory or structural shift. Score: 1</t>
        </is>
      </c>
    </row>
    <row r="24">
      <c r="A24" s="2" t="inlineStr">
        <is>
          <t>In Phase 4 a finding's horizon is the most imminent horizon among the failure modes that met a convergence condition for that dependency (for a Concentration Risk: among its Critical or High failure modes).</t>
        </is>
      </c>
    </row>
  </sheetData>
  <mergeCells count="1"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2026-09-16T18:03:44Z</dcterms:created>
  <dcterms:modified xsi:type="dcterms:W3CDTF">2026-09-16T18:03:44Z</dcterms:modified>
</cp:coreProperties>
</file>