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ergence Matrix" sheetId="1" state="visible" r:id="rId1"/>
    <sheet name="Convergence Scoring" sheetId="2" state="visible" r:id="rId2"/>
    <sheet name="Convergence Risk Summary" sheetId="3" state="visible" r:id="rId3"/>
    <sheet name="Instru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FF4A148C"/>
      <sz val="14"/>
    </font>
    <font>
      <color rgb="FF666666"/>
      <sz val="9"/>
    </font>
    <font>
      <b val="1"/>
      <color rgb="FFFFFFFF"/>
      <sz val="11"/>
    </font>
    <font>
      <sz val="10"/>
    </font>
    <font>
      <b val="1"/>
      <color rgb="FF4A148C"/>
      <sz val="12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FF4A148C"/>
      </patternFill>
    </fill>
    <fill>
      <patternFill patternType="solid">
        <fgColor rgb="FFFFF2CC"/>
      </patternFill>
    </fill>
    <fill>
      <patternFill patternType="solid">
        <fgColor rgb="FFE1BEE7"/>
      </patternFill>
    </fill>
    <fill>
      <patternFill patternType="solid">
        <fgColor rgb="FF7B1FA2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6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FFEF9A9A"/>
          <bgColor rgb="FFEF9A9A"/>
        </patternFill>
      </fill>
    </dxf>
    <dxf>
      <fill>
        <patternFill patternType="solid">
          <fgColor rgb="FFFFCC80"/>
          <bgColor rgb="FFFFCC80"/>
        </patternFill>
      </fill>
    </dxf>
    <dxf>
      <fill>
        <patternFill patternType="solid">
          <fgColor rgb="FFCE93D8"/>
          <bgColor rgb="FFCE93D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16" customWidth="1" min="4" max="4"/>
    <col width="14" customWidth="1" min="5" max="5"/>
    <col width="16" customWidth="1" min="6" max="6"/>
    <col width="12" customWidth="1" min="7" max="7"/>
    <col width="24" customWidth="1" min="8" max="8"/>
    <col width="13" customWidth="1" min="9" max="9"/>
    <col width="26" customWidth="1" min="10" max="10"/>
  </cols>
  <sheetData>
    <row r="1">
      <c r="A1" s="1" t="inlineStr">
        <is>
          <t>OSRA PHASE 4 — CONVERGENCE MATRIX (v1.2)</t>
        </is>
      </c>
    </row>
    <row r="2">
      <c r="A2" s="2" t="inlineStr">
        <is>
          <t>One row per Phase 1 dependency. A condition is Y if ANY failure mode or trust signal of the dependency meets it. Condition 1: a failure mode with Severity Critical or High (Phase 2). Condition 2: a failure mode with Silent Failure Risk = Y (Phase 2). Condition 3: a linked trust signal with Trust Gap = Y (Phase 3). Single Point: Phase 1.</t>
        </is>
      </c>
    </row>
    <row r="3">
      <c r="A3" s="2" t="inlineStr">
        <is>
          <t>Category, first rule that matches: 3 conditions = CRITICAL CONVERGENCE (30 days); 2 = CONVERGENCE POINT (90 days); fewer than 2 AND single point AND condition 1 = CONCENTRATION RISK (6 months); otherwise MONITORED RISK. A Critical Convergence or Convergence Point that is also a single point with condition 1 carries the Concentration flag (adds the 6-month exit strategy clock).</t>
        </is>
      </c>
    </row>
    <row r="5">
      <c r="A5" s="3" t="inlineStr">
        <is>
          <t>Dependency ID</t>
        </is>
      </c>
      <c r="B5" s="3" t="inlineStr">
        <is>
          <t>Dependency</t>
        </is>
      </c>
      <c r="C5" s="3" t="inlineStr">
        <is>
          <t>Cond. 1: Severity
Critical or High? (Y/N)</t>
        </is>
      </c>
      <c r="D5" s="3" t="inlineStr">
        <is>
          <t>Cond. 2: Silent
Failure Risk? (Y/N)</t>
        </is>
      </c>
      <c r="E5" s="3" t="inlineStr">
        <is>
          <t>Cond. 3: Trust
Gap? (Y/N)</t>
        </is>
      </c>
      <c r="F5" s="3" t="inlineStr">
        <is>
          <t>Single Point of
Dependency? (Y/N)</t>
        </is>
      </c>
      <c r="G5" s="3" t="inlineStr">
        <is>
          <t>Conditions
Met (0-3)</t>
        </is>
      </c>
      <c r="H5" s="3" t="inlineStr">
        <is>
          <t>Category</t>
        </is>
      </c>
      <c r="I5" s="3" t="inlineStr">
        <is>
          <t>Concentration
Flag</t>
        </is>
      </c>
      <c r="J5" s="3" t="inlineStr">
        <is>
          <t>Clock</t>
        </is>
      </c>
    </row>
    <row r="6">
      <c r="A6" s="4" t="n"/>
      <c r="B6" s="4" t="n"/>
      <c r="C6" s="4" t="n"/>
      <c r="D6" s="4" t="n"/>
      <c r="E6" s="4" t="n"/>
      <c r="F6" s="4" t="n"/>
      <c r="G6" s="5">
        <f>IF(COUNTA(C6:F6)=0,"",COUNTIF(C6:E6,"Y"))</f>
        <v/>
      </c>
      <c r="H6" s="5">
        <f>IF(G6="","",IF(G6=3,"CRITICAL CONVERGENCE",IF(G6=2,"CONVERGENCE POINT",IF(AND(F6="Y",C6="Y"),"CONCENTRATION RISK","MONITORED RISK"))))</f>
        <v/>
      </c>
      <c r="I6" s="5">
        <f>IF(G6="","",IF(AND(G6&gt;=2,F6="Y",C6="Y"),"Y","N"))</f>
        <v/>
      </c>
      <c r="J6" s="5">
        <f>IF(H6="","",IF(H6="CRITICAL CONVERGENCE","30 days",IF(H6="CONVERGENCE POINT","90 days",IF(H6="CONCENTRATION RISK","6 months","Standard cycle")))&amp;IF(I6="Y"," + 6-month exit strategy",""))</f>
        <v/>
      </c>
    </row>
    <row r="7">
      <c r="A7" s="4" t="n"/>
      <c r="B7" s="4" t="n"/>
      <c r="C7" s="4" t="n"/>
      <c r="D7" s="4" t="n"/>
      <c r="E7" s="4" t="n"/>
      <c r="F7" s="4" t="n"/>
      <c r="G7" s="5">
        <f>IF(COUNTA(C7:F7)=0,"",COUNTIF(C7:E7,"Y"))</f>
        <v/>
      </c>
      <c r="H7" s="5">
        <f>IF(G7="","",IF(G7=3,"CRITICAL CONVERGENCE",IF(G7=2,"CONVERGENCE POINT",IF(AND(F7="Y",C7="Y"),"CONCENTRATION RISK","MONITORED RISK"))))</f>
        <v/>
      </c>
      <c r="I7" s="5">
        <f>IF(G7="","",IF(AND(G7&gt;=2,F7="Y",C7="Y"),"Y","N"))</f>
        <v/>
      </c>
      <c r="J7" s="5">
        <f>IF(H7="","",IF(H7="CRITICAL CONVERGENCE","30 days",IF(H7="CONVERGENCE POINT","90 days",IF(H7="CONCENTRATION RISK","6 months","Standard cycle")))&amp;IF(I7="Y"," + 6-month exit strategy",""))</f>
        <v/>
      </c>
    </row>
    <row r="8">
      <c r="A8" s="4" t="n"/>
      <c r="B8" s="4" t="n"/>
      <c r="C8" s="4" t="n"/>
      <c r="D8" s="4" t="n"/>
      <c r="E8" s="4" t="n"/>
      <c r="F8" s="4" t="n"/>
      <c r="G8" s="5">
        <f>IF(COUNTA(C8:F8)=0,"",COUNTIF(C8:E8,"Y"))</f>
        <v/>
      </c>
      <c r="H8" s="5">
        <f>IF(G8="","",IF(G8=3,"CRITICAL CONVERGENCE",IF(G8=2,"CONVERGENCE POINT",IF(AND(F8="Y",C8="Y"),"CONCENTRATION RISK","MONITORED RISK"))))</f>
        <v/>
      </c>
      <c r="I8" s="5">
        <f>IF(G8="","",IF(AND(G8&gt;=2,F8="Y",C8="Y"),"Y","N"))</f>
        <v/>
      </c>
      <c r="J8" s="5">
        <f>IF(H8="","",IF(H8="CRITICAL CONVERGENCE","30 days",IF(H8="CONVERGENCE POINT","90 days",IF(H8="CONCENTRATION RISK","6 months","Standard cycle")))&amp;IF(I8="Y"," + 6-month exit strategy",""))</f>
        <v/>
      </c>
    </row>
    <row r="9">
      <c r="A9" s="4" t="n"/>
      <c r="B9" s="4" t="n"/>
      <c r="C9" s="4" t="n"/>
      <c r="D9" s="4" t="n"/>
      <c r="E9" s="4" t="n"/>
      <c r="F9" s="4" t="n"/>
      <c r="G9" s="5">
        <f>IF(COUNTA(C9:F9)=0,"",COUNTIF(C9:E9,"Y"))</f>
        <v/>
      </c>
      <c r="H9" s="5">
        <f>IF(G9="","",IF(G9=3,"CRITICAL CONVERGENCE",IF(G9=2,"CONVERGENCE POINT",IF(AND(F9="Y",C9="Y"),"CONCENTRATION RISK","MONITORED RISK"))))</f>
        <v/>
      </c>
      <c r="I9" s="5">
        <f>IF(G9="","",IF(AND(G9&gt;=2,F9="Y",C9="Y"),"Y","N"))</f>
        <v/>
      </c>
      <c r="J9" s="5">
        <f>IF(H9="","",IF(H9="CRITICAL CONVERGENCE","30 days",IF(H9="CONVERGENCE POINT","90 days",IF(H9="CONCENTRATION RISK","6 months","Standard cycle")))&amp;IF(I9="Y"," + 6-month exit strategy",""))</f>
        <v/>
      </c>
    </row>
    <row r="10">
      <c r="A10" s="4" t="n"/>
      <c r="B10" s="4" t="n"/>
      <c r="C10" s="4" t="n"/>
      <c r="D10" s="4" t="n"/>
      <c r="E10" s="4" t="n"/>
      <c r="F10" s="4" t="n"/>
      <c r="G10" s="5">
        <f>IF(COUNTA(C10:F10)=0,"",COUNTIF(C10:E10,"Y"))</f>
        <v/>
      </c>
      <c r="H10" s="5">
        <f>IF(G10="","",IF(G10=3,"CRITICAL CONVERGENCE",IF(G10=2,"CONVERGENCE POINT",IF(AND(F10="Y",C10="Y"),"CONCENTRATION RISK","MONITORED RISK"))))</f>
        <v/>
      </c>
      <c r="I10" s="5">
        <f>IF(G10="","",IF(AND(G10&gt;=2,F10="Y",C10="Y"),"Y","N"))</f>
        <v/>
      </c>
      <c r="J10" s="5">
        <f>IF(H10="","",IF(H10="CRITICAL CONVERGENCE","30 days",IF(H10="CONVERGENCE POINT","90 days",IF(H10="CONCENTRATION RISK","6 months","Standard cycle")))&amp;IF(I10="Y"," + 6-month exit strategy",""))</f>
        <v/>
      </c>
    </row>
    <row r="11">
      <c r="A11" s="4" t="n"/>
      <c r="B11" s="4" t="n"/>
      <c r="C11" s="4" t="n"/>
      <c r="D11" s="4" t="n"/>
      <c r="E11" s="4" t="n"/>
      <c r="F11" s="4" t="n"/>
      <c r="G11" s="5">
        <f>IF(COUNTA(C11:F11)=0,"",COUNTIF(C11:E11,"Y"))</f>
        <v/>
      </c>
      <c r="H11" s="5">
        <f>IF(G11="","",IF(G11=3,"CRITICAL CONVERGENCE",IF(G11=2,"CONVERGENCE POINT",IF(AND(F11="Y",C11="Y"),"CONCENTRATION RISK","MONITORED RISK"))))</f>
        <v/>
      </c>
      <c r="I11" s="5">
        <f>IF(G11="","",IF(AND(G11&gt;=2,F11="Y",C11="Y"),"Y","N"))</f>
        <v/>
      </c>
      <c r="J11" s="5">
        <f>IF(H11="","",IF(H11="CRITICAL CONVERGENCE","30 days",IF(H11="CONVERGENCE POINT","90 days",IF(H11="CONCENTRATION RISK","6 months","Standard cycle")))&amp;IF(I11="Y"," + 6-month exit strategy",""))</f>
        <v/>
      </c>
    </row>
    <row r="12">
      <c r="A12" s="4" t="n"/>
      <c r="B12" s="4" t="n"/>
      <c r="C12" s="4" t="n"/>
      <c r="D12" s="4" t="n"/>
      <c r="E12" s="4" t="n"/>
      <c r="F12" s="4" t="n"/>
      <c r="G12" s="5">
        <f>IF(COUNTA(C12:F12)=0,"",COUNTIF(C12:E12,"Y"))</f>
        <v/>
      </c>
      <c r="H12" s="5">
        <f>IF(G12="","",IF(G12=3,"CRITICAL CONVERGENCE",IF(G12=2,"CONVERGENCE POINT",IF(AND(F12="Y",C12="Y"),"CONCENTRATION RISK","MONITORED RISK"))))</f>
        <v/>
      </c>
      <c r="I12" s="5">
        <f>IF(G12="","",IF(AND(G12&gt;=2,F12="Y",C12="Y"),"Y","N"))</f>
        <v/>
      </c>
      <c r="J12" s="5">
        <f>IF(H12="","",IF(H12="CRITICAL CONVERGENCE","30 days",IF(H12="CONVERGENCE POINT","90 days",IF(H12="CONCENTRATION RISK","6 months","Standard cycle")))&amp;IF(I12="Y"," + 6-month exit strategy",""))</f>
        <v/>
      </c>
    </row>
    <row r="13">
      <c r="A13" s="4" t="n"/>
      <c r="B13" s="4" t="n"/>
      <c r="C13" s="4" t="n"/>
      <c r="D13" s="4" t="n"/>
      <c r="E13" s="4" t="n"/>
      <c r="F13" s="4" t="n"/>
      <c r="G13" s="5">
        <f>IF(COUNTA(C13:F13)=0,"",COUNTIF(C13:E13,"Y"))</f>
        <v/>
      </c>
      <c r="H13" s="5">
        <f>IF(G13="","",IF(G13=3,"CRITICAL CONVERGENCE",IF(G13=2,"CONVERGENCE POINT",IF(AND(F13="Y",C13="Y"),"CONCENTRATION RISK","MONITORED RISK"))))</f>
        <v/>
      </c>
      <c r="I13" s="5">
        <f>IF(G13="","",IF(AND(G13&gt;=2,F13="Y",C13="Y"),"Y","N"))</f>
        <v/>
      </c>
      <c r="J13" s="5">
        <f>IF(H13="","",IF(H13="CRITICAL CONVERGENCE","30 days",IF(H13="CONVERGENCE POINT","90 days",IF(H13="CONCENTRATION RISK","6 months","Standard cycle")))&amp;IF(I13="Y"," + 6-month exit strategy",""))</f>
        <v/>
      </c>
    </row>
    <row r="14">
      <c r="A14" s="4" t="n"/>
      <c r="B14" s="4" t="n"/>
      <c r="C14" s="4" t="n"/>
      <c r="D14" s="4" t="n"/>
      <c r="E14" s="4" t="n"/>
      <c r="F14" s="4" t="n"/>
      <c r="G14" s="5">
        <f>IF(COUNTA(C14:F14)=0,"",COUNTIF(C14:E14,"Y"))</f>
        <v/>
      </c>
      <c r="H14" s="5">
        <f>IF(G14="","",IF(G14=3,"CRITICAL CONVERGENCE",IF(G14=2,"CONVERGENCE POINT",IF(AND(F14="Y",C14="Y"),"CONCENTRATION RISK","MONITORED RISK"))))</f>
        <v/>
      </c>
      <c r="I14" s="5">
        <f>IF(G14="","",IF(AND(G14&gt;=2,F14="Y",C14="Y"),"Y","N"))</f>
        <v/>
      </c>
      <c r="J14" s="5">
        <f>IF(H14="","",IF(H14="CRITICAL CONVERGENCE","30 days",IF(H14="CONVERGENCE POINT","90 days",IF(H14="CONCENTRATION RISK","6 months","Standard cycle")))&amp;IF(I14="Y"," + 6-month exit strategy",""))</f>
        <v/>
      </c>
    </row>
    <row r="15">
      <c r="A15" s="4" t="n"/>
      <c r="B15" s="4" t="n"/>
      <c r="C15" s="4" t="n"/>
      <c r="D15" s="4" t="n"/>
      <c r="E15" s="4" t="n"/>
      <c r="F15" s="4" t="n"/>
      <c r="G15" s="5">
        <f>IF(COUNTA(C15:F15)=0,"",COUNTIF(C15:E15,"Y"))</f>
        <v/>
      </c>
      <c r="H15" s="5">
        <f>IF(G15="","",IF(G15=3,"CRITICAL CONVERGENCE",IF(G15=2,"CONVERGENCE POINT",IF(AND(F15="Y",C15="Y"),"CONCENTRATION RISK","MONITORED RISK"))))</f>
        <v/>
      </c>
      <c r="I15" s="5">
        <f>IF(G15="","",IF(AND(G15&gt;=2,F15="Y",C15="Y"),"Y","N"))</f>
        <v/>
      </c>
      <c r="J15" s="5">
        <f>IF(H15="","",IF(H15="CRITICAL CONVERGENCE","30 days",IF(H15="CONVERGENCE POINT","90 days",IF(H15="CONCENTRATION RISK","6 months","Standard cycle")))&amp;IF(I15="Y"," + 6-month exit strategy",""))</f>
        <v/>
      </c>
    </row>
    <row r="16">
      <c r="A16" s="4" t="n"/>
      <c r="B16" s="4" t="n"/>
      <c r="C16" s="4" t="n"/>
      <c r="D16" s="4" t="n"/>
      <c r="E16" s="4" t="n"/>
      <c r="F16" s="4" t="n"/>
      <c r="G16" s="5">
        <f>IF(COUNTA(C16:F16)=0,"",COUNTIF(C16:E16,"Y"))</f>
        <v/>
      </c>
      <c r="H16" s="5">
        <f>IF(G16="","",IF(G16=3,"CRITICAL CONVERGENCE",IF(G16=2,"CONVERGENCE POINT",IF(AND(F16="Y",C16="Y"),"CONCENTRATION RISK","MONITORED RISK"))))</f>
        <v/>
      </c>
      <c r="I16" s="5">
        <f>IF(G16="","",IF(AND(G16&gt;=2,F16="Y",C16="Y"),"Y","N"))</f>
        <v/>
      </c>
      <c r="J16" s="5">
        <f>IF(H16="","",IF(H16="CRITICAL CONVERGENCE","30 days",IF(H16="CONVERGENCE POINT","90 days",IF(H16="CONCENTRATION RISK","6 months","Standard cycle")))&amp;IF(I16="Y"," + 6-month exit strategy",""))</f>
        <v/>
      </c>
    </row>
    <row r="17">
      <c r="A17" s="4" t="n"/>
      <c r="B17" s="4" t="n"/>
      <c r="C17" s="4" t="n"/>
      <c r="D17" s="4" t="n"/>
      <c r="E17" s="4" t="n"/>
      <c r="F17" s="4" t="n"/>
      <c r="G17" s="5">
        <f>IF(COUNTA(C17:F17)=0,"",COUNTIF(C17:E17,"Y"))</f>
        <v/>
      </c>
      <c r="H17" s="5">
        <f>IF(G17="","",IF(G17=3,"CRITICAL CONVERGENCE",IF(G17=2,"CONVERGENCE POINT",IF(AND(F17="Y",C17="Y"),"CONCENTRATION RISK","MONITORED RISK"))))</f>
        <v/>
      </c>
      <c r="I17" s="5">
        <f>IF(G17="","",IF(AND(G17&gt;=2,F17="Y",C17="Y"),"Y","N"))</f>
        <v/>
      </c>
      <c r="J17" s="5">
        <f>IF(H17="","",IF(H17="CRITICAL CONVERGENCE","30 days",IF(H17="CONVERGENCE POINT","90 days",IF(H17="CONCENTRATION RISK","6 months","Standard cycle")))&amp;IF(I17="Y"," + 6-month exit strategy",""))</f>
        <v/>
      </c>
    </row>
    <row r="18">
      <c r="A18" s="4" t="n"/>
      <c r="B18" s="4" t="n"/>
      <c r="C18" s="4" t="n"/>
      <c r="D18" s="4" t="n"/>
      <c r="E18" s="4" t="n"/>
      <c r="F18" s="4" t="n"/>
      <c r="G18" s="5">
        <f>IF(COUNTA(C18:F18)=0,"",COUNTIF(C18:E18,"Y"))</f>
        <v/>
      </c>
      <c r="H18" s="5">
        <f>IF(G18="","",IF(G18=3,"CRITICAL CONVERGENCE",IF(G18=2,"CONVERGENCE POINT",IF(AND(F18="Y",C18="Y"),"CONCENTRATION RISK","MONITORED RISK"))))</f>
        <v/>
      </c>
      <c r="I18" s="5">
        <f>IF(G18="","",IF(AND(G18&gt;=2,F18="Y",C18="Y"),"Y","N"))</f>
        <v/>
      </c>
      <c r="J18" s="5">
        <f>IF(H18="","",IF(H18="CRITICAL CONVERGENCE","30 days",IF(H18="CONVERGENCE POINT","90 days",IF(H18="CONCENTRATION RISK","6 months","Standard cycle")))&amp;IF(I18="Y"," + 6-month exit strategy",""))</f>
        <v/>
      </c>
    </row>
    <row r="19">
      <c r="A19" s="4" t="n"/>
      <c r="B19" s="4" t="n"/>
      <c r="C19" s="4" t="n"/>
      <c r="D19" s="4" t="n"/>
      <c r="E19" s="4" t="n"/>
      <c r="F19" s="4" t="n"/>
      <c r="G19" s="5">
        <f>IF(COUNTA(C19:F19)=0,"",COUNTIF(C19:E19,"Y"))</f>
        <v/>
      </c>
      <c r="H19" s="5">
        <f>IF(G19="","",IF(G19=3,"CRITICAL CONVERGENCE",IF(G19=2,"CONVERGENCE POINT",IF(AND(F19="Y",C19="Y"),"CONCENTRATION RISK","MONITORED RISK"))))</f>
        <v/>
      </c>
      <c r="I19" s="5">
        <f>IF(G19="","",IF(AND(G19&gt;=2,F19="Y",C19="Y"),"Y","N"))</f>
        <v/>
      </c>
      <c r="J19" s="5">
        <f>IF(H19="","",IF(H19="CRITICAL CONVERGENCE","30 days",IF(H19="CONVERGENCE POINT","90 days",IF(H19="CONCENTRATION RISK","6 months","Standard cycle")))&amp;IF(I19="Y"," + 6-month exit strategy",""))</f>
        <v/>
      </c>
    </row>
    <row r="20">
      <c r="A20" s="4" t="n"/>
      <c r="B20" s="4" t="n"/>
      <c r="C20" s="4" t="n"/>
      <c r="D20" s="4" t="n"/>
      <c r="E20" s="4" t="n"/>
      <c r="F20" s="4" t="n"/>
      <c r="G20" s="5">
        <f>IF(COUNTA(C20:F20)=0,"",COUNTIF(C20:E20,"Y"))</f>
        <v/>
      </c>
      <c r="H20" s="5">
        <f>IF(G20="","",IF(G20=3,"CRITICAL CONVERGENCE",IF(G20=2,"CONVERGENCE POINT",IF(AND(F20="Y",C20="Y"),"CONCENTRATION RISK","MONITORED RISK"))))</f>
        <v/>
      </c>
      <c r="I20" s="5">
        <f>IF(G20="","",IF(AND(G20&gt;=2,F20="Y",C20="Y"),"Y","N"))</f>
        <v/>
      </c>
      <c r="J20" s="5">
        <f>IF(H20="","",IF(H20="CRITICAL CONVERGENCE","30 days",IF(H20="CONVERGENCE POINT","90 days",IF(H20="CONCENTRATION RISK","6 months","Standard cycle")))&amp;IF(I20="Y"," + 6-month exit strategy",""))</f>
        <v/>
      </c>
    </row>
    <row r="21">
      <c r="A21" s="4" t="n"/>
      <c r="B21" s="4" t="n"/>
      <c r="C21" s="4" t="n"/>
      <c r="D21" s="4" t="n"/>
      <c r="E21" s="4" t="n"/>
      <c r="F21" s="4" t="n"/>
      <c r="G21" s="5">
        <f>IF(COUNTA(C21:F21)=0,"",COUNTIF(C21:E21,"Y"))</f>
        <v/>
      </c>
      <c r="H21" s="5">
        <f>IF(G21="","",IF(G21=3,"CRITICAL CONVERGENCE",IF(G21=2,"CONVERGENCE POINT",IF(AND(F21="Y",C21="Y"),"CONCENTRATION RISK","MONITORED RISK"))))</f>
        <v/>
      </c>
      <c r="I21" s="5">
        <f>IF(G21="","",IF(AND(G21&gt;=2,F21="Y",C21="Y"),"Y","N"))</f>
        <v/>
      </c>
      <c r="J21" s="5">
        <f>IF(H21="","",IF(H21="CRITICAL CONVERGENCE","30 days",IF(H21="CONVERGENCE POINT","90 days",IF(H21="CONCENTRATION RISK","6 months","Standard cycle")))&amp;IF(I21="Y"," + 6-month exit strategy",""))</f>
        <v/>
      </c>
    </row>
    <row r="22">
      <c r="A22" s="4" t="n"/>
      <c r="B22" s="4" t="n"/>
      <c r="C22" s="4" t="n"/>
      <c r="D22" s="4" t="n"/>
      <c r="E22" s="4" t="n"/>
      <c r="F22" s="4" t="n"/>
      <c r="G22" s="5">
        <f>IF(COUNTA(C22:F22)=0,"",COUNTIF(C22:E22,"Y"))</f>
        <v/>
      </c>
      <c r="H22" s="5">
        <f>IF(G22="","",IF(G22=3,"CRITICAL CONVERGENCE",IF(G22=2,"CONVERGENCE POINT",IF(AND(F22="Y",C22="Y"),"CONCENTRATION RISK","MONITORED RISK"))))</f>
        <v/>
      </c>
      <c r="I22" s="5">
        <f>IF(G22="","",IF(AND(G22&gt;=2,F22="Y",C22="Y"),"Y","N"))</f>
        <v/>
      </c>
      <c r="J22" s="5">
        <f>IF(H22="","",IF(H22="CRITICAL CONVERGENCE","30 days",IF(H22="CONVERGENCE POINT","90 days",IF(H22="CONCENTRATION RISK","6 months","Standard cycle")))&amp;IF(I22="Y"," + 6-month exit strategy",""))</f>
        <v/>
      </c>
    </row>
    <row r="23">
      <c r="A23" s="4" t="n"/>
      <c r="B23" s="4" t="n"/>
      <c r="C23" s="4" t="n"/>
      <c r="D23" s="4" t="n"/>
      <c r="E23" s="4" t="n"/>
      <c r="F23" s="4" t="n"/>
      <c r="G23" s="5">
        <f>IF(COUNTA(C23:F23)=0,"",COUNTIF(C23:E23,"Y"))</f>
        <v/>
      </c>
      <c r="H23" s="5">
        <f>IF(G23="","",IF(G23=3,"CRITICAL CONVERGENCE",IF(G23=2,"CONVERGENCE POINT",IF(AND(F23="Y",C23="Y"),"CONCENTRATION RISK","MONITORED RISK"))))</f>
        <v/>
      </c>
      <c r="I23" s="5">
        <f>IF(G23="","",IF(AND(G23&gt;=2,F23="Y",C23="Y"),"Y","N"))</f>
        <v/>
      </c>
      <c r="J23" s="5">
        <f>IF(H23="","",IF(H23="CRITICAL CONVERGENCE","30 days",IF(H23="CONVERGENCE POINT","90 days",IF(H23="CONCENTRATION RISK","6 months","Standard cycle")))&amp;IF(I23="Y"," + 6-month exit strategy",""))</f>
        <v/>
      </c>
    </row>
    <row r="24">
      <c r="A24" s="4" t="n"/>
      <c r="B24" s="4" t="n"/>
      <c r="C24" s="4" t="n"/>
      <c r="D24" s="4" t="n"/>
      <c r="E24" s="4" t="n"/>
      <c r="F24" s="4" t="n"/>
      <c r="G24" s="5">
        <f>IF(COUNTA(C24:F24)=0,"",COUNTIF(C24:E24,"Y"))</f>
        <v/>
      </c>
      <c r="H24" s="5">
        <f>IF(G24="","",IF(G24=3,"CRITICAL CONVERGENCE",IF(G24=2,"CONVERGENCE POINT",IF(AND(F24="Y",C24="Y"),"CONCENTRATION RISK","MONITORED RISK"))))</f>
        <v/>
      </c>
      <c r="I24" s="5">
        <f>IF(G24="","",IF(AND(G24&gt;=2,F24="Y",C24="Y"),"Y","N"))</f>
        <v/>
      </c>
      <c r="J24" s="5">
        <f>IF(H24="","",IF(H24="CRITICAL CONVERGENCE","30 days",IF(H24="CONVERGENCE POINT","90 days",IF(H24="CONCENTRATION RISK","6 months","Standard cycle")))&amp;IF(I24="Y"," + 6-month exit strategy",""))</f>
        <v/>
      </c>
    </row>
    <row r="25">
      <c r="A25" s="4" t="n"/>
      <c r="B25" s="4" t="n"/>
      <c r="C25" s="4" t="n"/>
      <c r="D25" s="4" t="n"/>
      <c r="E25" s="4" t="n"/>
      <c r="F25" s="4" t="n"/>
      <c r="G25" s="5">
        <f>IF(COUNTA(C25:F25)=0,"",COUNTIF(C25:E25,"Y"))</f>
        <v/>
      </c>
      <c r="H25" s="5">
        <f>IF(G25="","",IF(G25=3,"CRITICAL CONVERGENCE",IF(G25=2,"CONVERGENCE POINT",IF(AND(F25="Y",C25="Y"),"CONCENTRATION RISK","MONITORED RISK"))))</f>
        <v/>
      </c>
      <c r="I25" s="5">
        <f>IF(G25="","",IF(AND(G25&gt;=2,F25="Y",C25="Y"),"Y","N"))</f>
        <v/>
      </c>
      <c r="J25" s="5">
        <f>IF(H25="","",IF(H25="CRITICAL CONVERGENCE","30 days",IF(H25="CONVERGENCE POINT","90 days",IF(H25="CONCENTRATION RISK","6 months","Standard cycle")))&amp;IF(I25="Y"," + 6-month exit strategy",""))</f>
        <v/>
      </c>
    </row>
    <row r="26">
      <c r="A26" s="4" t="n"/>
      <c r="B26" s="4" t="n"/>
      <c r="C26" s="4" t="n"/>
      <c r="D26" s="4" t="n"/>
      <c r="E26" s="4" t="n"/>
      <c r="F26" s="4" t="n"/>
      <c r="G26" s="5">
        <f>IF(COUNTA(C26:F26)=0,"",COUNTIF(C26:E26,"Y"))</f>
        <v/>
      </c>
      <c r="H26" s="5">
        <f>IF(G26="","",IF(G26=3,"CRITICAL CONVERGENCE",IF(G26=2,"CONVERGENCE POINT",IF(AND(F26="Y",C26="Y"),"CONCENTRATION RISK","MONITORED RISK"))))</f>
        <v/>
      </c>
      <c r="I26" s="5">
        <f>IF(G26="","",IF(AND(G26&gt;=2,F26="Y",C26="Y"),"Y","N"))</f>
        <v/>
      </c>
      <c r="J26" s="5">
        <f>IF(H26="","",IF(H26="CRITICAL CONVERGENCE","30 days",IF(H26="CONVERGENCE POINT","90 days",IF(H26="CONCENTRATION RISK","6 months","Standard cycle")))&amp;IF(I26="Y"," + 6-month exit strategy",""))</f>
        <v/>
      </c>
    </row>
    <row r="27">
      <c r="A27" s="4" t="n"/>
      <c r="B27" s="4" t="n"/>
      <c r="C27" s="4" t="n"/>
      <c r="D27" s="4" t="n"/>
      <c r="E27" s="4" t="n"/>
      <c r="F27" s="4" t="n"/>
      <c r="G27" s="5">
        <f>IF(COUNTA(C27:F27)=0,"",COUNTIF(C27:E27,"Y"))</f>
        <v/>
      </c>
      <c r="H27" s="5">
        <f>IF(G27="","",IF(G27=3,"CRITICAL CONVERGENCE",IF(G27=2,"CONVERGENCE POINT",IF(AND(F27="Y",C27="Y"),"CONCENTRATION RISK","MONITORED RISK"))))</f>
        <v/>
      </c>
      <c r="I27" s="5">
        <f>IF(G27="","",IF(AND(G27&gt;=2,F27="Y",C27="Y"),"Y","N"))</f>
        <v/>
      </c>
      <c r="J27" s="5">
        <f>IF(H27="","",IF(H27="CRITICAL CONVERGENCE","30 days",IF(H27="CONVERGENCE POINT","90 days",IF(H27="CONCENTRATION RISK","6 months","Standard cycle")))&amp;IF(I27="Y"," + 6-month exit strategy",""))</f>
        <v/>
      </c>
    </row>
    <row r="28">
      <c r="A28" s="4" t="n"/>
      <c r="B28" s="4" t="n"/>
      <c r="C28" s="4" t="n"/>
      <c r="D28" s="4" t="n"/>
      <c r="E28" s="4" t="n"/>
      <c r="F28" s="4" t="n"/>
      <c r="G28" s="5">
        <f>IF(COUNTA(C28:F28)=0,"",COUNTIF(C28:E28,"Y"))</f>
        <v/>
      </c>
      <c r="H28" s="5">
        <f>IF(G28="","",IF(G28=3,"CRITICAL CONVERGENCE",IF(G28=2,"CONVERGENCE POINT",IF(AND(F28="Y",C28="Y"),"CONCENTRATION RISK","MONITORED RISK"))))</f>
        <v/>
      </c>
      <c r="I28" s="5">
        <f>IF(G28="","",IF(AND(G28&gt;=2,F28="Y",C28="Y"),"Y","N"))</f>
        <v/>
      </c>
      <c r="J28" s="5">
        <f>IF(H28="","",IF(H28="CRITICAL CONVERGENCE","30 days",IF(H28="CONVERGENCE POINT","90 days",IF(H28="CONCENTRATION RISK","6 months","Standard cycle")))&amp;IF(I28="Y"," + 6-month exit strategy",""))</f>
        <v/>
      </c>
    </row>
    <row r="29">
      <c r="A29" s="4" t="n"/>
      <c r="B29" s="4" t="n"/>
      <c r="C29" s="4" t="n"/>
      <c r="D29" s="4" t="n"/>
      <c r="E29" s="4" t="n"/>
      <c r="F29" s="4" t="n"/>
      <c r="G29" s="5">
        <f>IF(COUNTA(C29:F29)=0,"",COUNTIF(C29:E29,"Y"))</f>
        <v/>
      </c>
      <c r="H29" s="5">
        <f>IF(G29="","",IF(G29=3,"CRITICAL CONVERGENCE",IF(G29=2,"CONVERGENCE POINT",IF(AND(F29="Y",C29="Y"),"CONCENTRATION RISK","MONITORED RISK"))))</f>
        <v/>
      </c>
      <c r="I29" s="5">
        <f>IF(G29="","",IF(AND(G29&gt;=2,F29="Y",C29="Y"),"Y","N"))</f>
        <v/>
      </c>
      <c r="J29" s="5">
        <f>IF(H29="","",IF(H29="CRITICAL CONVERGENCE","30 days",IF(H29="CONVERGENCE POINT","90 days",IF(H29="CONCENTRATION RISK","6 months","Standard cycle")))&amp;IF(I29="Y"," + 6-month exit strategy",""))</f>
        <v/>
      </c>
    </row>
    <row r="30">
      <c r="A30" s="4" t="n"/>
      <c r="B30" s="4" t="n"/>
      <c r="C30" s="4" t="n"/>
      <c r="D30" s="4" t="n"/>
      <c r="E30" s="4" t="n"/>
      <c r="F30" s="4" t="n"/>
      <c r="G30" s="5">
        <f>IF(COUNTA(C30:F30)=0,"",COUNTIF(C30:E30,"Y"))</f>
        <v/>
      </c>
      <c r="H30" s="5">
        <f>IF(G30="","",IF(G30=3,"CRITICAL CONVERGENCE",IF(G30=2,"CONVERGENCE POINT",IF(AND(F30="Y",C30="Y"),"CONCENTRATION RISK","MONITORED RISK"))))</f>
        <v/>
      </c>
      <c r="I30" s="5">
        <f>IF(G30="","",IF(AND(G30&gt;=2,F30="Y",C30="Y"),"Y","N"))</f>
        <v/>
      </c>
      <c r="J30" s="5">
        <f>IF(H30="","",IF(H30="CRITICAL CONVERGENCE","30 days",IF(H30="CONVERGENCE POINT","90 days",IF(H30="CONCENTRATION RISK","6 months","Standard cycle")))&amp;IF(I30="Y"," + 6-month exit strategy",""))</f>
        <v/>
      </c>
    </row>
    <row r="31">
      <c r="A31" s="4" t="n"/>
      <c r="B31" s="4" t="n"/>
      <c r="C31" s="4" t="n"/>
      <c r="D31" s="4" t="n"/>
      <c r="E31" s="4" t="n"/>
      <c r="F31" s="4" t="n"/>
      <c r="G31" s="5">
        <f>IF(COUNTA(C31:F31)=0,"",COUNTIF(C31:E31,"Y"))</f>
        <v/>
      </c>
      <c r="H31" s="5">
        <f>IF(G31="","",IF(G31=3,"CRITICAL CONVERGENCE",IF(G31=2,"CONVERGENCE POINT",IF(AND(F31="Y",C31="Y"),"CONCENTRATION RISK","MONITORED RISK"))))</f>
        <v/>
      </c>
      <c r="I31" s="5">
        <f>IF(G31="","",IF(AND(G31&gt;=2,F31="Y",C31="Y"),"Y","N"))</f>
        <v/>
      </c>
      <c r="J31" s="5">
        <f>IF(H31="","",IF(H31="CRITICAL CONVERGENCE","30 days",IF(H31="CONVERGENCE POINT","90 days",IF(H31="CONCENTRATION RISK","6 months","Standard cycle")))&amp;IF(I31="Y"," + 6-month exit strategy",""))</f>
        <v/>
      </c>
    </row>
    <row r="32">
      <c r="A32" s="4" t="n"/>
      <c r="B32" s="4" t="n"/>
      <c r="C32" s="4" t="n"/>
      <c r="D32" s="4" t="n"/>
      <c r="E32" s="4" t="n"/>
      <c r="F32" s="4" t="n"/>
      <c r="G32" s="5">
        <f>IF(COUNTA(C32:F32)=0,"",COUNTIF(C32:E32,"Y"))</f>
        <v/>
      </c>
      <c r="H32" s="5">
        <f>IF(G32="","",IF(G32=3,"CRITICAL CONVERGENCE",IF(G32=2,"CONVERGENCE POINT",IF(AND(F32="Y",C32="Y"),"CONCENTRATION RISK","MONITORED RISK"))))</f>
        <v/>
      </c>
      <c r="I32" s="5">
        <f>IF(G32="","",IF(AND(G32&gt;=2,F32="Y",C32="Y"),"Y","N"))</f>
        <v/>
      </c>
      <c r="J32" s="5">
        <f>IF(H32="","",IF(H32="CRITICAL CONVERGENCE","30 days",IF(H32="CONVERGENCE POINT","90 days",IF(H32="CONCENTRATION RISK","6 months","Standard cycle")))&amp;IF(I32="Y"," + 6-month exit strategy",""))</f>
        <v/>
      </c>
    </row>
    <row r="33">
      <c r="A33" s="4" t="n"/>
      <c r="B33" s="4" t="n"/>
      <c r="C33" s="4" t="n"/>
      <c r="D33" s="4" t="n"/>
      <c r="E33" s="4" t="n"/>
      <c r="F33" s="4" t="n"/>
      <c r="G33" s="5">
        <f>IF(COUNTA(C33:F33)=0,"",COUNTIF(C33:E33,"Y"))</f>
        <v/>
      </c>
      <c r="H33" s="5">
        <f>IF(G33="","",IF(G33=3,"CRITICAL CONVERGENCE",IF(G33=2,"CONVERGENCE POINT",IF(AND(F33="Y",C33="Y"),"CONCENTRATION RISK","MONITORED RISK"))))</f>
        <v/>
      </c>
      <c r="I33" s="5">
        <f>IF(G33="","",IF(AND(G33&gt;=2,F33="Y",C33="Y"),"Y","N"))</f>
        <v/>
      </c>
      <c r="J33" s="5">
        <f>IF(H33="","",IF(H33="CRITICAL CONVERGENCE","30 days",IF(H33="CONVERGENCE POINT","90 days",IF(H33="CONCENTRATION RISK","6 months","Standard cycle")))&amp;IF(I33="Y"," + 6-month exit strategy",""))</f>
        <v/>
      </c>
    </row>
    <row r="34">
      <c r="A34" s="4" t="n"/>
      <c r="B34" s="4" t="n"/>
      <c r="C34" s="4" t="n"/>
      <c r="D34" s="4" t="n"/>
      <c r="E34" s="4" t="n"/>
      <c r="F34" s="4" t="n"/>
      <c r="G34" s="5">
        <f>IF(COUNTA(C34:F34)=0,"",COUNTIF(C34:E34,"Y"))</f>
        <v/>
      </c>
      <c r="H34" s="5">
        <f>IF(G34="","",IF(G34=3,"CRITICAL CONVERGENCE",IF(G34=2,"CONVERGENCE POINT",IF(AND(F34="Y",C34="Y"),"CONCENTRATION RISK","MONITORED RISK"))))</f>
        <v/>
      </c>
      <c r="I34" s="5">
        <f>IF(G34="","",IF(AND(G34&gt;=2,F34="Y",C34="Y"),"Y","N"))</f>
        <v/>
      </c>
      <c r="J34" s="5">
        <f>IF(H34="","",IF(H34="CRITICAL CONVERGENCE","30 days",IF(H34="CONVERGENCE POINT","90 days",IF(H34="CONCENTRATION RISK","6 months","Standard cycle")))&amp;IF(I34="Y"," + 6-month exit strategy",""))</f>
        <v/>
      </c>
    </row>
    <row r="35">
      <c r="A35" s="4" t="n"/>
      <c r="B35" s="4" t="n"/>
      <c r="C35" s="4" t="n"/>
      <c r="D35" s="4" t="n"/>
      <c r="E35" s="4" t="n"/>
      <c r="F35" s="4" t="n"/>
      <c r="G35" s="5">
        <f>IF(COUNTA(C35:F35)=0,"",COUNTIF(C35:E35,"Y"))</f>
        <v/>
      </c>
      <c r="H35" s="5">
        <f>IF(G35="","",IF(G35=3,"CRITICAL CONVERGENCE",IF(G35=2,"CONVERGENCE POINT",IF(AND(F35="Y",C35="Y"),"CONCENTRATION RISK","MONITORED RISK"))))</f>
        <v/>
      </c>
      <c r="I35" s="5">
        <f>IF(G35="","",IF(AND(G35&gt;=2,F35="Y",C35="Y"),"Y","N"))</f>
        <v/>
      </c>
      <c r="J35" s="5">
        <f>IF(H35="","",IF(H35="CRITICAL CONVERGENCE","30 days",IF(H35="CONVERGENCE POINT","90 days",IF(H35="CONCENTRATION RISK","6 months","Standard cycle")))&amp;IF(I35="Y"," + 6-month exit strategy",""))</f>
        <v/>
      </c>
    </row>
    <row r="36">
      <c r="A36" s="4" t="n"/>
      <c r="B36" s="4" t="n"/>
      <c r="C36" s="4" t="n"/>
      <c r="D36" s="4" t="n"/>
      <c r="E36" s="4" t="n"/>
      <c r="F36" s="4" t="n"/>
      <c r="G36" s="5">
        <f>IF(COUNTA(C36:F36)=0,"",COUNTIF(C36:E36,"Y"))</f>
        <v/>
      </c>
      <c r="H36" s="5">
        <f>IF(G36="","",IF(G36=3,"CRITICAL CONVERGENCE",IF(G36=2,"CONVERGENCE POINT",IF(AND(F36="Y",C36="Y"),"CONCENTRATION RISK","MONITORED RISK"))))</f>
        <v/>
      </c>
      <c r="I36" s="5">
        <f>IF(G36="","",IF(AND(G36&gt;=2,F36="Y",C36="Y"),"Y","N"))</f>
        <v/>
      </c>
      <c r="J36" s="5">
        <f>IF(H36="","",IF(H36="CRITICAL CONVERGENCE","30 days",IF(H36="CONVERGENCE POINT","90 days",IF(H36="CONCENTRATION RISK","6 months","Standard cycle")))&amp;IF(I36="Y"," + 6-month exit strategy",""))</f>
        <v/>
      </c>
    </row>
    <row r="37">
      <c r="A37" s="4" t="n"/>
      <c r="B37" s="4" t="n"/>
      <c r="C37" s="4" t="n"/>
      <c r="D37" s="4" t="n"/>
      <c r="E37" s="4" t="n"/>
      <c r="F37" s="4" t="n"/>
      <c r="G37" s="5">
        <f>IF(COUNTA(C37:F37)=0,"",COUNTIF(C37:E37,"Y"))</f>
        <v/>
      </c>
      <c r="H37" s="5">
        <f>IF(G37="","",IF(G37=3,"CRITICAL CONVERGENCE",IF(G37=2,"CONVERGENCE POINT",IF(AND(F37="Y",C37="Y"),"CONCENTRATION RISK","MONITORED RISK"))))</f>
        <v/>
      </c>
      <c r="I37" s="5">
        <f>IF(G37="","",IF(AND(G37&gt;=2,F37="Y",C37="Y"),"Y","N"))</f>
        <v/>
      </c>
      <c r="J37" s="5">
        <f>IF(H37="","",IF(H37="CRITICAL CONVERGENCE","30 days",IF(H37="CONVERGENCE POINT","90 days",IF(H37="CONCENTRATION RISK","6 months","Standard cycle")))&amp;IF(I37="Y"," + 6-month exit strategy",""))</f>
        <v/>
      </c>
    </row>
    <row r="38">
      <c r="A38" s="4" t="n"/>
      <c r="B38" s="4" t="n"/>
      <c r="C38" s="4" t="n"/>
      <c r="D38" s="4" t="n"/>
      <c r="E38" s="4" t="n"/>
      <c r="F38" s="4" t="n"/>
      <c r="G38" s="5">
        <f>IF(COUNTA(C38:F38)=0,"",COUNTIF(C38:E38,"Y"))</f>
        <v/>
      </c>
      <c r="H38" s="5">
        <f>IF(G38="","",IF(G38=3,"CRITICAL CONVERGENCE",IF(G38=2,"CONVERGENCE POINT",IF(AND(F38="Y",C38="Y"),"CONCENTRATION RISK","MONITORED RISK"))))</f>
        <v/>
      </c>
      <c r="I38" s="5">
        <f>IF(G38="","",IF(AND(G38&gt;=2,F38="Y",C38="Y"),"Y","N"))</f>
        <v/>
      </c>
      <c r="J38" s="5">
        <f>IF(H38="","",IF(H38="CRITICAL CONVERGENCE","30 days",IF(H38="CONVERGENCE POINT","90 days",IF(H38="CONCENTRATION RISK","6 months","Standard cycle")))&amp;IF(I38="Y"," + 6-month exit strategy",""))</f>
        <v/>
      </c>
    </row>
    <row r="39">
      <c r="A39" s="4" t="n"/>
      <c r="B39" s="4" t="n"/>
      <c r="C39" s="4" t="n"/>
      <c r="D39" s="4" t="n"/>
      <c r="E39" s="4" t="n"/>
      <c r="F39" s="4" t="n"/>
      <c r="G39" s="5">
        <f>IF(COUNTA(C39:F39)=0,"",COUNTIF(C39:E39,"Y"))</f>
        <v/>
      </c>
      <c r="H39" s="5">
        <f>IF(G39="","",IF(G39=3,"CRITICAL CONVERGENCE",IF(G39=2,"CONVERGENCE POINT",IF(AND(F39="Y",C39="Y"),"CONCENTRATION RISK","MONITORED RISK"))))</f>
        <v/>
      </c>
      <c r="I39" s="5">
        <f>IF(G39="","",IF(AND(G39&gt;=2,F39="Y",C39="Y"),"Y","N"))</f>
        <v/>
      </c>
      <c r="J39" s="5">
        <f>IF(H39="","",IF(H39="CRITICAL CONVERGENCE","30 days",IF(H39="CONVERGENCE POINT","90 days",IF(H39="CONCENTRATION RISK","6 months","Standard cycle")))&amp;IF(I39="Y"," + 6-month exit strategy",""))</f>
        <v/>
      </c>
    </row>
    <row r="40">
      <c r="A40" s="4" t="n"/>
      <c r="B40" s="4" t="n"/>
      <c r="C40" s="4" t="n"/>
      <c r="D40" s="4" t="n"/>
      <c r="E40" s="4" t="n"/>
      <c r="F40" s="4" t="n"/>
      <c r="G40" s="5">
        <f>IF(COUNTA(C40:F40)=0,"",COUNTIF(C40:E40,"Y"))</f>
        <v/>
      </c>
      <c r="H40" s="5">
        <f>IF(G40="","",IF(G40=3,"CRITICAL CONVERGENCE",IF(G40=2,"CONVERGENCE POINT",IF(AND(F40="Y",C40="Y"),"CONCENTRATION RISK","MONITORED RISK"))))</f>
        <v/>
      </c>
      <c r="I40" s="5">
        <f>IF(G40="","",IF(AND(G40&gt;=2,F40="Y",C40="Y"),"Y","N"))</f>
        <v/>
      </c>
      <c r="J40" s="5">
        <f>IF(H40="","",IF(H40="CRITICAL CONVERGENCE","30 days",IF(H40="CONVERGENCE POINT","90 days",IF(H40="CONCENTRATION RISK","6 months","Standard cycle")))&amp;IF(I40="Y"," + 6-month exit strategy",""))</f>
        <v/>
      </c>
    </row>
    <row r="41">
      <c r="A41" s="4" t="n"/>
      <c r="B41" s="4" t="n"/>
      <c r="C41" s="4" t="n"/>
      <c r="D41" s="4" t="n"/>
      <c r="E41" s="4" t="n"/>
      <c r="F41" s="4" t="n"/>
      <c r="G41" s="5">
        <f>IF(COUNTA(C41:F41)=0,"",COUNTIF(C41:E41,"Y"))</f>
        <v/>
      </c>
      <c r="H41" s="5">
        <f>IF(G41="","",IF(G41=3,"CRITICAL CONVERGENCE",IF(G41=2,"CONVERGENCE POINT",IF(AND(F41="Y",C41="Y"),"CONCENTRATION RISK","MONITORED RISK"))))</f>
        <v/>
      </c>
      <c r="I41" s="5">
        <f>IF(G41="","",IF(AND(G41&gt;=2,F41="Y",C41="Y"),"Y","N"))</f>
        <v/>
      </c>
      <c r="J41" s="5">
        <f>IF(H41="","",IF(H41="CRITICAL CONVERGENCE","30 days",IF(H41="CONVERGENCE POINT","90 days",IF(H41="CONCENTRATION RISK","6 months","Standard cycle")))&amp;IF(I41="Y"," + 6-month exit strategy",""))</f>
        <v/>
      </c>
    </row>
    <row r="42">
      <c r="A42" s="4" t="n"/>
      <c r="B42" s="4" t="n"/>
      <c r="C42" s="4" t="n"/>
      <c r="D42" s="4" t="n"/>
      <c r="E42" s="4" t="n"/>
      <c r="F42" s="4" t="n"/>
      <c r="G42" s="5">
        <f>IF(COUNTA(C42:F42)=0,"",COUNTIF(C42:E42,"Y"))</f>
        <v/>
      </c>
      <c r="H42" s="5">
        <f>IF(G42="","",IF(G42=3,"CRITICAL CONVERGENCE",IF(G42=2,"CONVERGENCE POINT",IF(AND(F42="Y",C42="Y"),"CONCENTRATION RISK","MONITORED RISK"))))</f>
        <v/>
      </c>
      <c r="I42" s="5">
        <f>IF(G42="","",IF(AND(G42&gt;=2,F42="Y",C42="Y"),"Y","N"))</f>
        <v/>
      </c>
      <c r="J42" s="5">
        <f>IF(H42="","",IF(H42="CRITICAL CONVERGENCE","30 days",IF(H42="CONVERGENCE POINT","90 days",IF(H42="CONCENTRATION RISK","6 months","Standard cycle")))&amp;IF(I42="Y"," + 6-month exit strategy",""))</f>
        <v/>
      </c>
    </row>
    <row r="43">
      <c r="A43" s="4" t="n"/>
      <c r="B43" s="4" t="n"/>
      <c r="C43" s="4" t="n"/>
      <c r="D43" s="4" t="n"/>
      <c r="E43" s="4" t="n"/>
      <c r="F43" s="4" t="n"/>
      <c r="G43" s="5">
        <f>IF(COUNTA(C43:F43)=0,"",COUNTIF(C43:E43,"Y"))</f>
        <v/>
      </c>
      <c r="H43" s="5">
        <f>IF(G43="","",IF(G43=3,"CRITICAL CONVERGENCE",IF(G43=2,"CONVERGENCE POINT",IF(AND(F43="Y",C43="Y"),"CONCENTRATION RISK","MONITORED RISK"))))</f>
        <v/>
      </c>
      <c r="I43" s="5">
        <f>IF(G43="","",IF(AND(G43&gt;=2,F43="Y",C43="Y"),"Y","N"))</f>
        <v/>
      </c>
      <c r="J43" s="5">
        <f>IF(H43="","",IF(H43="CRITICAL CONVERGENCE","30 days",IF(H43="CONVERGENCE POINT","90 days",IF(H43="CONCENTRATION RISK","6 months","Standard cycle")))&amp;IF(I43="Y"," + 6-month exit strategy",""))</f>
        <v/>
      </c>
    </row>
    <row r="44">
      <c r="A44" s="4" t="n"/>
      <c r="B44" s="4" t="n"/>
      <c r="C44" s="4" t="n"/>
      <c r="D44" s="4" t="n"/>
      <c r="E44" s="4" t="n"/>
      <c r="F44" s="4" t="n"/>
      <c r="G44" s="5">
        <f>IF(COUNTA(C44:F44)=0,"",COUNTIF(C44:E44,"Y"))</f>
        <v/>
      </c>
      <c r="H44" s="5">
        <f>IF(G44="","",IF(G44=3,"CRITICAL CONVERGENCE",IF(G44=2,"CONVERGENCE POINT",IF(AND(F44="Y",C44="Y"),"CONCENTRATION RISK","MONITORED RISK"))))</f>
        <v/>
      </c>
      <c r="I44" s="5">
        <f>IF(G44="","",IF(AND(G44&gt;=2,F44="Y",C44="Y"),"Y","N"))</f>
        <v/>
      </c>
      <c r="J44" s="5">
        <f>IF(H44="","",IF(H44="CRITICAL CONVERGENCE","30 days",IF(H44="CONVERGENCE POINT","90 days",IF(H44="CONCENTRATION RISK","6 months","Standard cycle")))&amp;IF(I44="Y"," + 6-month exit strategy",""))</f>
        <v/>
      </c>
    </row>
    <row r="45">
      <c r="A45" s="4" t="n"/>
      <c r="B45" s="4" t="n"/>
      <c r="C45" s="4" t="n"/>
      <c r="D45" s="4" t="n"/>
      <c r="E45" s="4" t="n"/>
      <c r="F45" s="4" t="n"/>
      <c r="G45" s="5">
        <f>IF(COUNTA(C45:F45)=0,"",COUNTIF(C45:E45,"Y"))</f>
        <v/>
      </c>
      <c r="H45" s="5">
        <f>IF(G45="","",IF(G45=3,"CRITICAL CONVERGENCE",IF(G45=2,"CONVERGENCE POINT",IF(AND(F45="Y",C45="Y"),"CONCENTRATION RISK","MONITORED RISK"))))</f>
        <v/>
      </c>
      <c r="I45" s="5">
        <f>IF(G45="","",IF(AND(G45&gt;=2,F45="Y",C45="Y"),"Y","N"))</f>
        <v/>
      </c>
      <c r="J45" s="5">
        <f>IF(H45="","",IF(H45="CRITICAL CONVERGENCE","30 days",IF(H45="CONVERGENCE POINT","90 days",IF(H45="CONCENTRATION RISK","6 months","Standard cycle")))&amp;IF(I45="Y"," + 6-month exit strategy",""))</f>
        <v/>
      </c>
    </row>
  </sheetData>
  <mergeCells count="3">
    <mergeCell ref="A1:J1"/>
    <mergeCell ref="A3:J3"/>
    <mergeCell ref="A2:J2"/>
  </mergeCells>
  <conditionalFormatting sqref="H6:H45">
    <cfRule type="expression" priority="1" dxfId="0">
      <formula>$H6="CRITICAL CONVERGENCE"</formula>
    </cfRule>
    <cfRule type="expression" priority="2" dxfId="1">
      <formula>$H6="CONVERGENCE POINT"</formula>
    </cfRule>
    <cfRule type="expression" priority="3" dxfId="2">
      <formula>$H6="CONCENTRATION RISK"</formula>
    </cfRule>
  </conditionalFormatting>
  <dataValidations count="1">
    <dataValidation sqref="C6:F45" showDropDown="0" showInputMessage="0" showErrorMessage="1" allowBlank="1" errorTitle="OSRA" error="Choose a value from the list." type="list">
      <formula1>"Y,N"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0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hidden="1" width="6" customWidth="1" min="11" max="11"/>
    <col width="8" customWidth="1" min="12" max="12"/>
    <col width="35" customWidth="1" min="13" max="13"/>
  </cols>
  <sheetData>
    <row r="1">
      <c r="A1" s="6" t="inlineStr">
        <is>
          <t>OSRA CONVERGENCE SCORING (v1.2) — 6 factors</t>
        </is>
      </c>
    </row>
    <row r="2">
      <c r="A2" s="2" t="inlineStr">
        <is>
          <t>Score every Critical Convergence, Convergence Point and Concentration Risk; Monitored Risks are not scored. Rank orders by category first, then score, then Regulatory Exposure, Blast Radius, Materialisation Horizon and Detection Deficit. Findings still level share a rank: decide and record the reason.</t>
        </is>
      </c>
    </row>
    <row r="4">
      <c r="A4" s="7" t="inlineStr">
        <is>
          <t>Regulatory Exposure weight</t>
        </is>
      </c>
      <c r="B4" s="4" t="n">
        <v>1.5</v>
      </c>
      <c r="D4" s="7" t="inlineStr">
        <is>
          <t>Score range at these weights</t>
        </is>
      </c>
      <c r="E4" s="5">
        <f>B4+B5+4</f>
        <v/>
      </c>
      <c r="F4" s="8" t="inlineStr">
        <is>
          <t>minimum</t>
        </is>
      </c>
    </row>
    <row r="5">
      <c r="A5" s="7" t="inlineStr">
        <is>
          <t>Blast Radius weight</t>
        </is>
      </c>
      <c r="B5" s="4" t="n">
        <v>1.5</v>
      </c>
      <c r="E5" s="5">
        <f>5*B4+5*B5+20</f>
        <v/>
      </c>
      <c r="F5" s="8" t="inlineStr">
        <is>
          <t>maximum</t>
        </is>
      </c>
    </row>
    <row r="6">
      <c r="A6" s="2" t="inlineStr">
        <is>
          <t>The published weights are 1.5 and 1.5, a stated judgement (see calibration/weight_sensitivity.py). Change them only after checking what the change does to your ranking.</t>
        </is>
      </c>
    </row>
    <row r="8">
      <c r="A8" s="9" t="inlineStr">
        <is>
          <t>Dependency ID</t>
        </is>
      </c>
      <c r="B8" s="9" t="inlineStr">
        <is>
          <t>Finding</t>
        </is>
      </c>
      <c r="C8" s="9" t="inlineStr">
        <is>
          <t>Category</t>
        </is>
      </c>
      <c r="D8" s="9" t="inlineStr">
        <is>
          <t>Regulatory
Exposure (1-5)</t>
        </is>
      </c>
      <c r="E8" s="9" t="inlineStr">
        <is>
          <t>Detection
Deficit (1-5)</t>
        </is>
      </c>
      <c r="F8" s="9" t="inlineStr">
        <is>
          <t>Trust
Depth (1-5)</t>
        </is>
      </c>
      <c r="G8" s="9" t="inlineStr">
        <is>
          <t>Blast
Radius (1-5)</t>
        </is>
      </c>
      <c r="H8" s="9" t="inlineStr">
        <is>
          <t>Remediation
Complexity (1-5)</t>
        </is>
      </c>
      <c r="I8" s="9" t="inlineStr">
        <is>
          <t>Materialisation
Horizon (1-5)</t>
        </is>
      </c>
      <c r="J8" s="9" t="inlineStr">
        <is>
          <t>Weighted Score</t>
        </is>
      </c>
      <c r="K8" s="9" t="inlineStr">
        <is>
          <t>Sort Key
(helper)</t>
        </is>
      </c>
      <c r="L8" s="9" t="inlineStr">
        <is>
          <t>Rank</t>
        </is>
      </c>
      <c r="M8" s="9" t="inlineStr">
        <is>
          <t>Recommended Action
(See Action Catalogue)</t>
        </is>
      </c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5">
        <f>IF(COUNT(D9:I9)&lt;6,"",D9*$B$4+E9+F9+G9*$B$5+H9+I9)</f>
        <v/>
      </c>
      <c r="K9" s="5">
        <f>IF(OR(J9="",C9=""),"",(4-MATCH(C9,{"Critical Convergence","Convergence Point","Concentration Risk"},0))*1000000000000+J9*100000000+D9*10000+G9*1000+I9*100+E9*10)</f>
        <v/>
      </c>
      <c r="L9" s="5">
        <f>IF(K9="","",COUNTIF($K$9:$K$38,"&gt;"&amp;K9)+1)</f>
        <v/>
      </c>
      <c r="M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5">
        <f>IF(COUNT(D10:I10)&lt;6,"",D10*$B$4+E10+F10+G10*$B$5+H10+I10)</f>
        <v/>
      </c>
      <c r="K10" s="5">
        <f>IF(OR(J10="",C10=""),"",(4-MATCH(C10,{"Critical Convergence","Convergence Point","Concentration Risk"},0))*1000000000000+J10*100000000+D10*10000+G10*1000+I10*100+E10*10)</f>
        <v/>
      </c>
      <c r="L10" s="5">
        <f>IF(K10="","",COUNTIF($K$9:$K$38,"&gt;"&amp;K10)+1)</f>
        <v/>
      </c>
      <c r="M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5">
        <f>IF(COUNT(D11:I11)&lt;6,"",D11*$B$4+E11+F11+G11*$B$5+H11+I11)</f>
        <v/>
      </c>
      <c r="K11" s="5">
        <f>IF(OR(J11="",C11=""),"",(4-MATCH(C11,{"Critical Convergence","Convergence Point","Concentration Risk"},0))*1000000000000+J11*100000000+D11*10000+G11*1000+I11*100+E11*10)</f>
        <v/>
      </c>
      <c r="L11" s="5">
        <f>IF(K11="","",COUNTIF($K$9:$K$38,"&gt;"&amp;K11)+1)</f>
        <v/>
      </c>
      <c r="M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5">
        <f>IF(COUNT(D12:I12)&lt;6,"",D12*$B$4+E12+F12+G12*$B$5+H12+I12)</f>
        <v/>
      </c>
      <c r="K12" s="5">
        <f>IF(OR(J12="",C12=""),"",(4-MATCH(C12,{"Critical Convergence","Convergence Point","Concentration Risk"},0))*1000000000000+J12*100000000+D12*10000+G12*1000+I12*100+E12*10)</f>
        <v/>
      </c>
      <c r="L12" s="5">
        <f>IF(K12="","",COUNTIF($K$9:$K$38,"&gt;"&amp;K12)+1)</f>
        <v/>
      </c>
      <c r="M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5">
        <f>IF(COUNT(D13:I13)&lt;6,"",D13*$B$4+E13+F13+G13*$B$5+H13+I13)</f>
        <v/>
      </c>
      <c r="K13" s="5">
        <f>IF(OR(J13="",C13=""),"",(4-MATCH(C13,{"Critical Convergence","Convergence Point","Concentration Risk"},0))*1000000000000+J13*100000000+D13*10000+G13*1000+I13*100+E13*10)</f>
        <v/>
      </c>
      <c r="L13" s="5">
        <f>IF(K13="","",COUNTIF($K$9:$K$38,"&gt;"&amp;K13)+1)</f>
        <v/>
      </c>
      <c r="M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5">
        <f>IF(COUNT(D14:I14)&lt;6,"",D14*$B$4+E14+F14+G14*$B$5+H14+I14)</f>
        <v/>
      </c>
      <c r="K14" s="5">
        <f>IF(OR(J14="",C14=""),"",(4-MATCH(C14,{"Critical Convergence","Convergence Point","Concentration Risk"},0))*1000000000000+J14*100000000+D14*10000+G14*1000+I14*100+E14*10)</f>
        <v/>
      </c>
      <c r="L14" s="5">
        <f>IF(K14="","",COUNTIF($K$9:$K$38,"&gt;"&amp;K14)+1)</f>
        <v/>
      </c>
      <c r="M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5">
        <f>IF(COUNT(D15:I15)&lt;6,"",D15*$B$4+E15+F15+G15*$B$5+H15+I15)</f>
        <v/>
      </c>
      <c r="K15" s="5">
        <f>IF(OR(J15="",C15=""),"",(4-MATCH(C15,{"Critical Convergence","Convergence Point","Concentration Risk"},0))*1000000000000+J15*100000000+D15*10000+G15*1000+I15*100+E15*10)</f>
        <v/>
      </c>
      <c r="L15" s="5">
        <f>IF(K15="","",COUNTIF($K$9:$K$38,"&gt;"&amp;K15)+1)</f>
        <v/>
      </c>
      <c r="M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5">
        <f>IF(COUNT(D16:I16)&lt;6,"",D16*$B$4+E16+F16+G16*$B$5+H16+I16)</f>
        <v/>
      </c>
      <c r="K16" s="5">
        <f>IF(OR(J16="",C16=""),"",(4-MATCH(C16,{"Critical Convergence","Convergence Point","Concentration Risk"},0))*1000000000000+J16*100000000+D16*10000+G16*1000+I16*100+E16*10)</f>
        <v/>
      </c>
      <c r="L16" s="5">
        <f>IF(K16="","",COUNTIF($K$9:$K$38,"&gt;"&amp;K16)+1)</f>
        <v/>
      </c>
      <c r="M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5">
        <f>IF(COUNT(D17:I17)&lt;6,"",D17*$B$4+E17+F17+G17*$B$5+H17+I17)</f>
        <v/>
      </c>
      <c r="K17" s="5">
        <f>IF(OR(J17="",C17=""),"",(4-MATCH(C17,{"Critical Convergence","Convergence Point","Concentration Risk"},0))*1000000000000+J17*100000000+D17*10000+G17*1000+I17*100+E17*10)</f>
        <v/>
      </c>
      <c r="L17" s="5">
        <f>IF(K17="","",COUNTIF($K$9:$K$38,"&gt;"&amp;K17)+1)</f>
        <v/>
      </c>
      <c r="M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5">
        <f>IF(COUNT(D18:I18)&lt;6,"",D18*$B$4+E18+F18+G18*$B$5+H18+I18)</f>
        <v/>
      </c>
      <c r="K18" s="5">
        <f>IF(OR(J18="",C18=""),"",(4-MATCH(C18,{"Critical Convergence","Convergence Point","Concentration Risk"},0))*1000000000000+J18*100000000+D18*10000+G18*1000+I18*100+E18*10)</f>
        <v/>
      </c>
      <c r="L18" s="5">
        <f>IF(K18="","",COUNTIF($K$9:$K$38,"&gt;"&amp;K18)+1)</f>
        <v/>
      </c>
      <c r="M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5">
        <f>IF(COUNT(D19:I19)&lt;6,"",D19*$B$4+E19+F19+G19*$B$5+H19+I19)</f>
        <v/>
      </c>
      <c r="K19" s="5">
        <f>IF(OR(J19="",C19=""),"",(4-MATCH(C19,{"Critical Convergence","Convergence Point","Concentration Risk"},0))*1000000000000+J19*100000000+D19*10000+G19*1000+I19*100+E19*10)</f>
        <v/>
      </c>
      <c r="L19" s="5">
        <f>IF(K19="","",COUNTIF($K$9:$K$38,"&gt;"&amp;K19)+1)</f>
        <v/>
      </c>
      <c r="M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5">
        <f>IF(COUNT(D20:I20)&lt;6,"",D20*$B$4+E20+F20+G20*$B$5+H20+I20)</f>
        <v/>
      </c>
      <c r="K20" s="5">
        <f>IF(OR(J20="",C20=""),"",(4-MATCH(C20,{"Critical Convergence","Convergence Point","Concentration Risk"},0))*1000000000000+J20*100000000+D20*10000+G20*1000+I20*100+E20*10)</f>
        <v/>
      </c>
      <c r="L20" s="5">
        <f>IF(K20="","",COUNTIF($K$9:$K$38,"&gt;"&amp;K20)+1)</f>
        <v/>
      </c>
      <c r="M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5">
        <f>IF(COUNT(D21:I21)&lt;6,"",D21*$B$4+E21+F21+G21*$B$5+H21+I21)</f>
        <v/>
      </c>
      <c r="K21" s="5">
        <f>IF(OR(J21="",C21=""),"",(4-MATCH(C21,{"Critical Convergence","Convergence Point","Concentration Risk"},0))*1000000000000+J21*100000000+D21*10000+G21*1000+I21*100+E21*10)</f>
        <v/>
      </c>
      <c r="L21" s="5">
        <f>IF(K21="","",COUNTIF($K$9:$K$38,"&gt;"&amp;K21)+1)</f>
        <v/>
      </c>
      <c r="M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5">
        <f>IF(COUNT(D22:I22)&lt;6,"",D22*$B$4+E22+F22+G22*$B$5+H22+I22)</f>
        <v/>
      </c>
      <c r="K22" s="5">
        <f>IF(OR(J22="",C22=""),"",(4-MATCH(C22,{"Critical Convergence","Convergence Point","Concentration Risk"},0))*1000000000000+J22*100000000+D22*10000+G22*1000+I22*100+E22*10)</f>
        <v/>
      </c>
      <c r="L22" s="5">
        <f>IF(K22="","",COUNTIF($K$9:$K$38,"&gt;"&amp;K22)+1)</f>
        <v/>
      </c>
      <c r="M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5">
        <f>IF(COUNT(D23:I23)&lt;6,"",D23*$B$4+E23+F23+G23*$B$5+H23+I23)</f>
        <v/>
      </c>
      <c r="K23" s="5">
        <f>IF(OR(J23="",C23=""),"",(4-MATCH(C23,{"Critical Convergence","Convergence Point","Concentration Risk"},0))*1000000000000+J23*100000000+D23*10000+G23*1000+I23*100+E23*10)</f>
        <v/>
      </c>
      <c r="L23" s="5">
        <f>IF(K23="","",COUNTIF($K$9:$K$38,"&gt;"&amp;K23)+1)</f>
        <v/>
      </c>
      <c r="M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5">
        <f>IF(COUNT(D24:I24)&lt;6,"",D24*$B$4+E24+F24+G24*$B$5+H24+I24)</f>
        <v/>
      </c>
      <c r="K24" s="5">
        <f>IF(OR(J24="",C24=""),"",(4-MATCH(C24,{"Critical Convergence","Convergence Point","Concentration Risk"},0))*1000000000000+J24*100000000+D24*10000+G24*1000+I24*100+E24*10)</f>
        <v/>
      </c>
      <c r="L24" s="5">
        <f>IF(K24="","",COUNTIF($K$9:$K$38,"&gt;"&amp;K24)+1)</f>
        <v/>
      </c>
      <c r="M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5">
        <f>IF(COUNT(D25:I25)&lt;6,"",D25*$B$4+E25+F25+G25*$B$5+H25+I25)</f>
        <v/>
      </c>
      <c r="K25" s="5">
        <f>IF(OR(J25="",C25=""),"",(4-MATCH(C25,{"Critical Convergence","Convergence Point","Concentration Risk"},0))*1000000000000+J25*100000000+D25*10000+G25*1000+I25*100+E25*10)</f>
        <v/>
      </c>
      <c r="L25" s="5">
        <f>IF(K25="","",COUNTIF($K$9:$K$38,"&gt;"&amp;K25)+1)</f>
        <v/>
      </c>
      <c r="M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5">
        <f>IF(COUNT(D26:I26)&lt;6,"",D26*$B$4+E26+F26+G26*$B$5+H26+I26)</f>
        <v/>
      </c>
      <c r="K26" s="5">
        <f>IF(OR(J26="",C26=""),"",(4-MATCH(C26,{"Critical Convergence","Convergence Point","Concentration Risk"},0))*1000000000000+J26*100000000+D26*10000+G26*1000+I26*100+E26*10)</f>
        <v/>
      </c>
      <c r="L26" s="5">
        <f>IF(K26="","",COUNTIF($K$9:$K$38,"&gt;"&amp;K26)+1)</f>
        <v/>
      </c>
      <c r="M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5">
        <f>IF(COUNT(D27:I27)&lt;6,"",D27*$B$4+E27+F27+G27*$B$5+H27+I27)</f>
        <v/>
      </c>
      <c r="K27" s="5">
        <f>IF(OR(J27="",C27=""),"",(4-MATCH(C27,{"Critical Convergence","Convergence Point","Concentration Risk"},0))*1000000000000+J27*100000000+D27*10000+G27*1000+I27*100+E27*10)</f>
        <v/>
      </c>
      <c r="L27" s="5">
        <f>IF(K27="","",COUNTIF($K$9:$K$38,"&gt;"&amp;K27)+1)</f>
        <v/>
      </c>
      <c r="M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5">
        <f>IF(COUNT(D28:I28)&lt;6,"",D28*$B$4+E28+F28+G28*$B$5+H28+I28)</f>
        <v/>
      </c>
      <c r="K28" s="5">
        <f>IF(OR(J28="",C28=""),"",(4-MATCH(C28,{"Critical Convergence","Convergence Point","Concentration Risk"},0))*1000000000000+J28*100000000+D28*10000+G28*1000+I28*100+E28*10)</f>
        <v/>
      </c>
      <c r="L28" s="5">
        <f>IF(K28="","",COUNTIF($K$9:$K$38,"&gt;"&amp;K28)+1)</f>
        <v/>
      </c>
      <c r="M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5">
        <f>IF(COUNT(D29:I29)&lt;6,"",D29*$B$4+E29+F29+G29*$B$5+H29+I29)</f>
        <v/>
      </c>
      <c r="K29" s="5">
        <f>IF(OR(J29="",C29=""),"",(4-MATCH(C29,{"Critical Convergence","Convergence Point","Concentration Risk"},0))*1000000000000+J29*100000000+D29*10000+G29*1000+I29*100+E29*10)</f>
        <v/>
      </c>
      <c r="L29" s="5">
        <f>IF(K29="","",COUNTIF($K$9:$K$38,"&gt;"&amp;K29)+1)</f>
        <v/>
      </c>
      <c r="M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5">
        <f>IF(COUNT(D30:I30)&lt;6,"",D30*$B$4+E30+F30+G30*$B$5+H30+I30)</f>
        <v/>
      </c>
      <c r="K30" s="5">
        <f>IF(OR(J30="",C30=""),"",(4-MATCH(C30,{"Critical Convergence","Convergence Point","Concentration Risk"},0))*1000000000000+J30*100000000+D30*10000+G30*1000+I30*100+E30*10)</f>
        <v/>
      </c>
      <c r="L30" s="5">
        <f>IF(K30="","",COUNTIF($K$9:$K$38,"&gt;"&amp;K30)+1)</f>
        <v/>
      </c>
      <c r="M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5">
        <f>IF(COUNT(D31:I31)&lt;6,"",D31*$B$4+E31+F31+G31*$B$5+H31+I31)</f>
        <v/>
      </c>
      <c r="K31" s="5">
        <f>IF(OR(J31="",C31=""),"",(4-MATCH(C31,{"Critical Convergence","Convergence Point","Concentration Risk"},0))*1000000000000+J31*100000000+D31*10000+G31*1000+I31*100+E31*10)</f>
        <v/>
      </c>
      <c r="L31" s="5">
        <f>IF(K31="","",COUNTIF($K$9:$K$38,"&gt;"&amp;K31)+1)</f>
        <v/>
      </c>
      <c r="M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5">
        <f>IF(COUNT(D32:I32)&lt;6,"",D32*$B$4+E32+F32+G32*$B$5+H32+I32)</f>
        <v/>
      </c>
      <c r="K32" s="5">
        <f>IF(OR(J32="",C32=""),"",(4-MATCH(C32,{"Critical Convergence","Convergence Point","Concentration Risk"},0))*1000000000000+J32*100000000+D32*10000+G32*1000+I32*100+E32*10)</f>
        <v/>
      </c>
      <c r="L32" s="5">
        <f>IF(K32="","",COUNTIF($K$9:$K$38,"&gt;"&amp;K32)+1)</f>
        <v/>
      </c>
      <c r="M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5">
        <f>IF(COUNT(D33:I33)&lt;6,"",D33*$B$4+E33+F33+G33*$B$5+H33+I33)</f>
        <v/>
      </c>
      <c r="K33" s="5">
        <f>IF(OR(J33="",C33=""),"",(4-MATCH(C33,{"Critical Convergence","Convergence Point","Concentration Risk"},0))*1000000000000+J33*100000000+D33*10000+G33*1000+I33*100+E33*10)</f>
        <v/>
      </c>
      <c r="L33" s="5">
        <f>IF(K33="","",COUNTIF($K$9:$K$38,"&gt;"&amp;K33)+1)</f>
        <v/>
      </c>
      <c r="M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5">
        <f>IF(COUNT(D34:I34)&lt;6,"",D34*$B$4+E34+F34+G34*$B$5+H34+I34)</f>
        <v/>
      </c>
      <c r="K34" s="5">
        <f>IF(OR(J34="",C34=""),"",(4-MATCH(C34,{"Critical Convergence","Convergence Point","Concentration Risk"},0))*1000000000000+J34*100000000+D34*10000+G34*1000+I34*100+E34*10)</f>
        <v/>
      </c>
      <c r="L34" s="5">
        <f>IF(K34="","",COUNTIF($K$9:$K$38,"&gt;"&amp;K34)+1)</f>
        <v/>
      </c>
      <c r="M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5">
        <f>IF(COUNT(D35:I35)&lt;6,"",D35*$B$4+E35+F35+G35*$B$5+H35+I35)</f>
        <v/>
      </c>
      <c r="K35" s="5">
        <f>IF(OR(J35="",C35=""),"",(4-MATCH(C35,{"Critical Convergence","Convergence Point","Concentration Risk"},0))*1000000000000+J35*100000000+D35*10000+G35*1000+I35*100+E35*10)</f>
        <v/>
      </c>
      <c r="L35" s="5">
        <f>IF(K35="","",COUNTIF($K$9:$K$38,"&gt;"&amp;K35)+1)</f>
        <v/>
      </c>
      <c r="M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5">
        <f>IF(COUNT(D36:I36)&lt;6,"",D36*$B$4+E36+F36+G36*$B$5+H36+I36)</f>
        <v/>
      </c>
      <c r="K36" s="5">
        <f>IF(OR(J36="",C36=""),"",(4-MATCH(C36,{"Critical Convergence","Convergence Point","Concentration Risk"},0))*1000000000000+J36*100000000+D36*10000+G36*1000+I36*100+E36*10)</f>
        <v/>
      </c>
      <c r="L36" s="5">
        <f>IF(K36="","",COUNTIF($K$9:$K$38,"&gt;"&amp;K36)+1)</f>
        <v/>
      </c>
      <c r="M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5">
        <f>IF(COUNT(D37:I37)&lt;6,"",D37*$B$4+E37+F37+G37*$B$5+H37+I37)</f>
        <v/>
      </c>
      <c r="K37" s="5">
        <f>IF(OR(J37="",C37=""),"",(4-MATCH(C37,{"Critical Convergence","Convergence Point","Concentration Risk"},0))*1000000000000+J37*100000000+D37*10000+G37*1000+I37*100+E37*10)</f>
        <v/>
      </c>
      <c r="L37" s="5">
        <f>IF(K37="","",COUNTIF($K$9:$K$38,"&gt;"&amp;K37)+1)</f>
        <v/>
      </c>
      <c r="M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5">
        <f>IF(COUNT(D38:I38)&lt;6,"",D38*$B$4+E38+F38+G38*$B$5+H38+I38)</f>
        <v/>
      </c>
      <c r="K38" s="5">
        <f>IF(OR(J38="",C38=""),"",(4-MATCH(C38,{"Critical Convergence","Convergence Point","Concentration Risk"},0))*1000000000000+J38*100000000+D38*10000+G38*1000+I38*100+E38*10)</f>
        <v/>
      </c>
      <c r="L38" s="5">
        <f>IF(K38="","",COUNTIF($K$9:$K$38,"&gt;"&amp;K38)+1)</f>
        <v/>
      </c>
      <c r="M38" s="4" t="n"/>
    </row>
    <row r="41">
      <c r="A41" s="10" t="inlineStr">
        <is>
          <t>SCORING ANCHORS (v1.2) — where a finding sits between two anchors, take the lower score and record the reason</t>
        </is>
      </c>
    </row>
    <row r="42">
      <c r="A42" s="9" t="inlineStr">
        <is>
          <t>Factor</t>
        </is>
      </c>
      <c r="B42" s="9" t="inlineStr">
        <is>
          <t>1</t>
        </is>
      </c>
      <c r="C42" s="11" t="n"/>
      <c r="D42" s="9" t="inlineStr">
        <is>
          <t>2</t>
        </is>
      </c>
      <c r="E42" s="11" t="n"/>
      <c r="F42" s="9" t="inlineStr">
        <is>
          <t>3</t>
        </is>
      </c>
      <c r="G42" s="11" t="n"/>
      <c r="H42" s="9" t="inlineStr">
        <is>
          <t>4</t>
        </is>
      </c>
      <c r="I42" s="11" t="n"/>
      <c r="J42" s="9" t="inlineStr">
        <is>
          <t>5</t>
        </is>
      </c>
      <c r="K42" s="11" t="n"/>
    </row>
    <row r="43" ht="75" customHeight="1">
      <c r="A43" s="7" t="inlineStr">
        <is>
          <t>Regulatory Exposure (× weight)</t>
        </is>
      </c>
      <c r="B43" s="8" t="inlineStr">
        <is>
          <t>No regulatory regime applies to this dependency's failure</t>
        </is>
      </c>
      <c r="C43" s="11" t="n"/>
      <c r="D43" s="8" t="inlineStr">
        <is>
          <t>A voluntary or non-statutory regime applies, or a mandatory regime whose application to this system is debated</t>
        </is>
      </c>
      <c r="E43" s="11" t="n"/>
      <c r="F43" s="8" t="inlineStr">
        <is>
          <t>A mandatory regime with enforcement reaches this failure through general provisions (risk management, third-party management, documentation)</t>
        </is>
      </c>
      <c r="G43" s="11" t="n"/>
      <c r="H43" s="8" t="inlineStr">
        <is>
          <t>A mandatory regime's operative article addresses this failure directly (resilience testing, robustness, incident detection, screening), or the regime carries personal accountability for named individuals</t>
        </is>
      </c>
      <c r="I43" s="11" t="n"/>
      <c r="J43" s="8" t="inlineStr">
        <is>
          <t>More than one regime addresses the failure directly with active enforcement, or the failure carries criminal, sanctions or safety-of-life liability</t>
        </is>
      </c>
      <c r="K43" s="11" t="n"/>
    </row>
    <row r="44" ht="75" customHeight="1">
      <c r="A44" s="7" t="inlineStr">
        <is>
          <t>Detection Deficit (×1.0)</t>
        </is>
      </c>
      <c r="B44" s="8" t="inlineStr">
        <is>
          <t>Automated alerting on the failure mode itself, routed to an owner, within minutes</t>
        </is>
      </c>
      <c r="C44" s="11" t="n"/>
      <c r="D44" s="8" t="inlineStr">
        <is>
          <t>The failure is known or scheduled in advance, or existing monitoring or a continuous counterparty check would surface it within a day</t>
        </is>
      </c>
      <c r="E44" s="11" t="n"/>
      <c r="F44" s="8" t="inlineStr">
        <is>
          <t>Periodic manual review would catch it within one review cycle</t>
        </is>
      </c>
      <c r="G44" s="11" t="n"/>
      <c r="H44" s="8" t="inlineStr">
        <is>
          <t>It would be found only after consequences accumulate: a customer complaint, an audit finding, a reconciliation months later</t>
        </is>
      </c>
      <c r="I44" s="11" t="n"/>
      <c r="J44" s="8" t="inlineStr">
        <is>
          <t>No mechanism responds to this failure mode; the monitoring that exists measures something else and stays green while the failure runs</t>
        </is>
      </c>
      <c r="K44" s="11" t="n"/>
    </row>
    <row r="45" ht="75" customHeight="1">
      <c r="A45" s="7" t="inlineStr">
        <is>
          <t>Trust Depth (×1.0)</t>
        </is>
      </c>
      <c r="B45" s="8" t="inlineStr">
        <is>
          <t>The signal was verified by the organisation itself, or the dependency is internal and monitored</t>
        </is>
      </c>
      <c r="C45" s="11" t="n"/>
      <c r="D45" s="8" t="inlineStr">
        <is>
          <t>One external party whose attestation the organisation relies on directly and could verify but has not</t>
        </is>
      </c>
      <c r="E45" s="11" t="n"/>
      <c r="F45" s="8" t="inlineStr">
        <is>
          <t>Two layers: the vendor relies on a provider the organisation has no relationship with, and neither layer is verified</t>
        </is>
      </c>
      <c r="G45" s="11" t="n"/>
      <c r="H45" s="8" t="inlineStr">
        <is>
          <t>Three or more layers, none verified</t>
        </is>
      </c>
      <c r="I45" s="11" t="n"/>
      <c r="J45" s="8" t="inlineStr">
        <is>
          <t>The chain is opaque: the organisation cannot enumerate the layers, or the vendor withholds the model, the data or the method</t>
        </is>
      </c>
      <c r="K45" s="11" t="n"/>
    </row>
    <row r="46" ht="75" customHeight="1">
      <c r="A46" s="7" t="inlineStr">
        <is>
          <t>Blast Radius (× weight)</t>
        </is>
      </c>
      <c r="B46" s="8" t="inlineStr">
        <is>
          <t>Isolated, non-critical function</t>
        </is>
      </c>
      <c r="C46" s="11" t="n"/>
      <c r="D46" s="8" t="inlineStr">
        <is>
          <t>A subset of transactions or decisions, or a process off the real-time path</t>
        </is>
      </c>
      <c r="E46" s="11" t="n"/>
      <c r="F46" s="8" t="inlineStr">
        <is>
          <t>One business unit or customer segment, or the system's lifecycle (retraining, maintenance) rather than its operation</t>
        </is>
      </c>
      <c r="G46" s="11" t="n"/>
      <c r="H46" s="8" t="inlineStr">
        <is>
          <t>Several business units, or one critical customer-facing function</t>
        </is>
      </c>
      <c r="I46" s="11" t="n"/>
      <c r="J46" s="8" t="inlineStr">
        <is>
          <t>Organisation-wide: every transaction, every decision or every customer</t>
        </is>
      </c>
      <c r="K46" s="11" t="n"/>
    </row>
    <row r="47" ht="75" customHeight="1">
      <c r="A47" s="7" t="inlineStr">
        <is>
          <t>Remediation Complexity (×1.0)</t>
        </is>
      </c>
      <c r="B47" s="8" t="inlineStr">
        <is>
          <t>Configuration change or quick fix within the organisation's control, days</t>
        </is>
      </c>
      <c r="C47" s="11" t="n"/>
      <c r="D47" s="8" t="inlineStr">
        <is>
          <t>Tooling or monitoring the organisation can build itself within a quarter</t>
        </is>
      </c>
      <c r="E47" s="11" t="n"/>
      <c r="F47" s="8" t="inlineStr">
        <is>
          <t>A vendor negotiation, a contract change, a knowledge transfer or a new data source, with moderate engineering</t>
        </is>
      </c>
      <c r="G47" s="11" t="n"/>
      <c r="H47" s="8" t="inlineStr">
        <is>
          <t>A second provider, a second region, dual running or re-internalising a capability, with significant engineering</t>
        </is>
      </c>
      <c r="I47" s="11" t="n"/>
      <c r="J47" s="8" t="inlineStr">
        <is>
          <t>Architectural redesign of the system or its monitoring, or replacement of the core model or vendor</t>
        </is>
      </c>
      <c r="K47" s="11" t="n"/>
    </row>
    <row r="48" ht="75" customHeight="1">
      <c r="A48" s="7" t="inlineStr">
        <is>
          <t>Materialisation Horizon (×1.0)</t>
        </is>
      </c>
      <c r="B48" s="8" t="inlineStr">
        <is>
          <t>Years (slow regulatory or contractual evolution)</t>
        </is>
      </c>
      <c r="C48" s="11" t="n"/>
      <c r="D48" s="8" t="inlineStr">
        <is>
          <t>Months (known contract expiry, scheduled deprecation)</t>
        </is>
      </c>
      <c r="E48" s="11" t="n"/>
      <c r="F48" s="8" t="inlineStr">
        <is>
          <t>Weeks (recurring but unpredictable events such as regional degradation)</t>
        </is>
      </c>
      <c r="G48" s="11" t="n"/>
      <c r="H48" s="8" t="inlineStr">
        <is>
          <t>Days (announced upcoming change)</t>
        </is>
      </c>
      <c r="I48" s="11" t="n"/>
      <c r="J48" s="8" t="inlineStr">
        <is>
          <t>Imminent or already occurring (silent failures that may be active now)</t>
        </is>
      </c>
      <c r="K48" s="11" t="n"/>
    </row>
    <row r="51">
      <c r="A51" s="10" t="inlineStr">
        <is>
          <t>CONVERGENCE CATEGORIES (v1.2) — decided in the Convergence Matrix, first rule that matches</t>
        </is>
      </c>
    </row>
    <row r="52">
      <c r="A52" s="7" t="inlineStr">
        <is>
          <t>CRITICAL CONVERGENCE</t>
        </is>
      </c>
      <c r="B52" s="8" t="inlineStr">
        <is>
          <t>All three conditions met</t>
        </is>
      </c>
      <c r="C52" s="12" t="n"/>
      <c r="D52" s="12" t="n"/>
      <c r="E52" s="12" t="n"/>
      <c r="F52" s="12" t="n"/>
      <c r="G52" s="11" t="n"/>
      <c r="H52" s="8" t="inlineStr">
        <is>
          <t>Remediation within 30 days</t>
        </is>
      </c>
      <c r="I52" s="12" t="n"/>
      <c r="J52" s="11" t="n"/>
    </row>
    <row r="53">
      <c r="A53" s="7" t="inlineStr">
        <is>
          <t>CONVERGENCE POINT</t>
        </is>
      </c>
      <c r="B53" s="8" t="inlineStr">
        <is>
          <t>Exactly two conditions met</t>
        </is>
      </c>
      <c r="C53" s="12" t="n"/>
      <c r="D53" s="12" t="n"/>
      <c r="E53" s="12" t="n"/>
      <c r="F53" s="12" t="n"/>
      <c r="G53" s="11" t="n"/>
      <c r="H53" s="8" t="inlineStr">
        <is>
          <t>Remediation within 90 days</t>
        </is>
      </c>
      <c r="I53" s="12" t="n"/>
      <c r="J53" s="11" t="n"/>
    </row>
    <row r="54">
      <c r="A54" s="7" t="inlineStr">
        <is>
          <t>CONCENTRATION RISK</t>
        </is>
      </c>
      <c r="B54" s="8" t="inlineStr">
        <is>
          <t>Fewer than two conditions; single point of dependency with Critical or High severity</t>
        </is>
      </c>
      <c r="C54" s="12" t="n"/>
      <c r="D54" s="12" t="n"/>
      <c r="E54" s="12" t="n"/>
      <c r="F54" s="12" t="n"/>
      <c r="G54" s="11" t="n"/>
      <c r="H54" s="8" t="inlineStr">
        <is>
          <t>Exit strategy + redundancy within 6 months</t>
        </is>
      </c>
      <c r="I54" s="12" t="n"/>
      <c r="J54" s="11" t="n"/>
    </row>
    <row r="55">
      <c r="A55" s="7" t="inlineStr">
        <is>
          <t>MONITORED RISK</t>
        </is>
      </c>
      <c r="B55" s="8" t="inlineStr">
        <is>
          <t>Everything else (not scored)</t>
        </is>
      </c>
      <c r="C55" s="12" t="n"/>
      <c r="D55" s="12" t="n"/>
      <c r="E55" s="12" t="n"/>
      <c r="F55" s="12" t="n"/>
      <c r="G55" s="11" t="n"/>
      <c r="H55" s="8" t="inlineStr">
        <is>
          <t>Standard risk management cycle</t>
        </is>
      </c>
      <c r="I55" s="12" t="n"/>
      <c r="J55" s="11" t="n"/>
    </row>
    <row r="56">
      <c r="A56" s="7" t="inlineStr">
        <is>
          <t>Concentration flag</t>
        </is>
      </c>
      <c r="B56" s="8" t="inlineStr">
        <is>
          <t>Critical Convergence or Convergence Point that is also a single point with Critical or High severity</t>
        </is>
      </c>
      <c r="C56" s="12" t="n"/>
      <c r="D56" s="12" t="n"/>
      <c r="E56" s="12" t="n"/>
      <c r="F56" s="12" t="n"/>
      <c r="G56" s="11" t="n"/>
      <c r="H56" s="8" t="inlineStr">
        <is>
          <t>Adds the 6-month exit strategy clock</t>
        </is>
      </c>
      <c r="I56" s="12" t="n"/>
      <c r="J56" s="11" t="n"/>
    </row>
  </sheetData>
  <mergeCells count="48">
    <mergeCell ref="J44:K44"/>
    <mergeCell ref="B47:C47"/>
    <mergeCell ref="H43:I43"/>
    <mergeCell ref="H52:J52"/>
    <mergeCell ref="B46:C46"/>
    <mergeCell ref="D46:E46"/>
    <mergeCell ref="H44:I44"/>
    <mergeCell ref="B53:G53"/>
    <mergeCell ref="D45:E45"/>
    <mergeCell ref="B43:C43"/>
    <mergeCell ref="B48:C48"/>
    <mergeCell ref="H46:I46"/>
    <mergeCell ref="B42:C42"/>
    <mergeCell ref="F45:G45"/>
    <mergeCell ref="F42:G42"/>
    <mergeCell ref="J45:K45"/>
    <mergeCell ref="D48:E48"/>
    <mergeCell ref="B55:G55"/>
    <mergeCell ref="D47:E47"/>
    <mergeCell ref="B44:C44"/>
    <mergeCell ref="F47:G47"/>
    <mergeCell ref="A1:M1"/>
    <mergeCell ref="D43:E43"/>
    <mergeCell ref="A6:M6"/>
    <mergeCell ref="H45:I45"/>
    <mergeCell ref="F46:G46"/>
    <mergeCell ref="H47:I47"/>
    <mergeCell ref="H53:J53"/>
    <mergeCell ref="A2:M2"/>
    <mergeCell ref="J47:K47"/>
    <mergeCell ref="F43:G43"/>
    <mergeCell ref="B54:G54"/>
    <mergeCell ref="J43:K43"/>
    <mergeCell ref="F48:G48"/>
    <mergeCell ref="D42:E42"/>
    <mergeCell ref="H54:J54"/>
    <mergeCell ref="J46:K46"/>
    <mergeCell ref="H48:I48"/>
    <mergeCell ref="H42:I42"/>
    <mergeCell ref="H55:J55"/>
    <mergeCell ref="J42:K42"/>
    <mergeCell ref="B45:C45"/>
    <mergeCell ref="B56:G56"/>
    <mergeCell ref="B52:G52"/>
    <mergeCell ref="H56:J56"/>
    <mergeCell ref="D44:E44"/>
    <mergeCell ref="J48:K48"/>
    <mergeCell ref="F44:G44"/>
  </mergeCells>
  <dataValidations count="2">
    <dataValidation sqref="C9:C38" showDropDown="0" showInputMessage="0" showErrorMessage="1" allowBlank="1" errorTitle="OSRA" error="Choose a value from the list." type="list">
      <formula1>"Critical Convergence,Convergence Point,Concentration Risk"</formula1>
    </dataValidation>
    <dataValidation sqref="D9:I38" showDropDown="0" showInputMessage="0" showErrorMessage="1" allowBlank="1" errorTitle="OSRA" error="Enter a whole number from 1 to 5." type="whole" operator="between">
      <formula1>1</formula1>
      <formula2>5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6" customWidth="1" min="3" max="3"/>
    <col width="20" customWidth="1" min="4" max="4"/>
    <col width="9" customWidth="1" min="5" max="5"/>
    <col width="28" customWidth="1" min="6" max="6"/>
    <col width="28" customWidth="1" min="7" max="7"/>
    <col width="22" customWidth="1" min="8" max="8"/>
    <col width="15" customWidth="1" min="9" max="9"/>
    <col width="32" customWidth="1" min="10" max="10"/>
  </cols>
  <sheetData>
    <row r="1">
      <c r="A1" s="1" t="inlineStr">
        <is>
          <t>OSRA CONVERGENCE RISK SUMMARY — Board-Ready Output (v1.2)</t>
        </is>
      </c>
    </row>
    <row r="2">
      <c r="A2" s="2" t="inlineStr">
        <is>
          <t>Rank, ID, finding, category and score are pulled from Convergence Scoring by rank. If two findings share a rank, resolve the tie there first. Yellow = write the narrative.</t>
        </is>
      </c>
    </row>
    <row r="3">
      <c r="A3" s="3" t="inlineStr">
        <is>
          <t>Rank</t>
        </is>
      </c>
      <c r="B3" s="3" t="inlineStr">
        <is>
          <t>Dependency ID</t>
        </is>
      </c>
      <c r="C3" s="3" t="inlineStr">
        <is>
          <t>Finding</t>
        </is>
      </c>
      <c r="D3" s="3" t="inlineStr">
        <is>
          <t>Category</t>
        </is>
      </c>
      <c r="E3" s="3" t="inlineStr">
        <is>
          <t>Score</t>
        </is>
      </c>
      <c r="F3" s="3" t="inlineStr">
        <is>
          <t>What Converges Here</t>
        </is>
      </c>
      <c r="G3" s="3" t="inlineStr">
        <is>
          <t>Why Governance Missed It</t>
        </is>
      </c>
      <c r="H3" s="3" t="inlineStr">
        <is>
          <t>Regulatory Exposure</t>
        </is>
      </c>
      <c r="I3" s="3" t="inlineStr">
        <is>
          <t>Materialisation
Horizon</t>
        </is>
      </c>
      <c r="J3" s="3" t="inlineStr">
        <is>
          <t>Recommended Action</t>
        </is>
      </c>
    </row>
    <row r="4">
      <c r="A4" s="7" t="n">
        <v>1</v>
      </c>
      <c r="B4" s="5">
        <f>IFERROR(INDEX('Convergence Scoring'!$A$9:$A$38,MATCH($A4,'Convergence Scoring'!$L$9:$L$38,0)),"")</f>
        <v/>
      </c>
      <c r="C4" s="5">
        <f>IFERROR(INDEX('Convergence Scoring'!$B$9:$B$38,MATCH($A4,'Convergence Scoring'!$L$9:$L$38,0)),"")</f>
        <v/>
      </c>
      <c r="D4" s="5">
        <f>IFERROR(INDEX('Convergence Scoring'!$C$9:$C$38,MATCH($A4,'Convergence Scoring'!$L$9:$L$38,0)),"")</f>
        <v/>
      </c>
      <c r="E4" s="5">
        <f>IFERROR(INDEX('Convergence Scoring'!$J$9:$J$38,MATCH($A4,'Convergence Scoring'!$L$9:$L$38,0)),"")</f>
        <v/>
      </c>
      <c r="F4" s="4" t="n"/>
      <c r="G4" s="4" t="n"/>
      <c r="H4" s="4" t="n"/>
      <c r="I4" s="4" t="n"/>
      <c r="J4" s="4" t="n"/>
    </row>
    <row r="5">
      <c r="A5" s="7" t="n">
        <v>2</v>
      </c>
      <c r="B5" s="5">
        <f>IFERROR(INDEX('Convergence Scoring'!$A$9:$A$38,MATCH($A5,'Convergence Scoring'!$L$9:$L$38,0)),"")</f>
        <v/>
      </c>
      <c r="C5" s="5">
        <f>IFERROR(INDEX('Convergence Scoring'!$B$9:$B$38,MATCH($A5,'Convergence Scoring'!$L$9:$L$38,0)),"")</f>
        <v/>
      </c>
      <c r="D5" s="5">
        <f>IFERROR(INDEX('Convergence Scoring'!$C$9:$C$38,MATCH($A5,'Convergence Scoring'!$L$9:$L$38,0)),"")</f>
        <v/>
      </c>
      <c r="E5" s="5">
        <f>IFERROR(INDEX('Convergence Scoring'!$J$9:$J$38,MATCH($A5,'Convergence Scoring'!$L$9:$L$38,0)),"")</f>
        <v/>
      </c>
      <c r="F5" s="4" t="n"/>
      <c r="G5" s="4" t="n"/>
      <c r="H5" s="4" t="n"/>
      <c r="I5" s="4" t="n"/>
      <c r="J5" s="4" t="n"/>
    </row>
    <row r="6">
      <c r="A6" s="7" t="n">
        <v>3</v>
      </c>
      <c r="B6" s="5">
        <f>IFERROR(INDEX('Convergence Scoring'!$A$9:$A$38,MATCH($A6,'Convergence Scoring'!$L$9:$L$38,0)),"")</f>
        <v/>
      </c>
      <c r="C6" s="5">
        <f>IFERROR(INDEX('Convergence Scoring'!$B$9:$B$38,MATCH($A6,'Convergence Scoring'!$L$9:$L$38,0)),"")</f>
        <v/>
      </c>
      <c r="D6" s="5">
        <f>IFERROR(INDEX('Convergence Scoring'!$C$9:$C$38,MATCH($A6,'Convergence Scoring'!$L$9:$L$38,0)),"")</f>
        <v/>
      </c>
      <c r="E6" s="5">
        <f>IFERROR(INDEX('Convergence Scoring'!$J$9:$J$38,MATCH($A6,'Convergence Scoring'!$L$9:$L$38,0)),"")</f>
        <v/>
      </c>
      <c r="F6" s="4" t="n"/>
      <c r="G6" s="4" t="n"/>
      <c r="H6" s="4" t="n"/>
      <c r="I6" s="4" t="n"/>
      <c r="J6" s="4" t="n"/>
    </row>
    <row r="7">
      <c r="A7" s="7" t="n">
        <v>4</v>
      </c>
      <c r="B7" s="5">
        <f>IFERROR(INDEX('Convergence Scoring'!$A$9:$A$38,MATCH($A7,'Convergence Scoring'!$L$9:$L$38,0)),"")</f>
        <v/>
      </c>
      <c r="C7" s="5">
        <f>IFERROR(INDEX('Convergence Scoring'!$B$9:$B$38,MATCH($A7,'Convergence Scoring'!$L$9:$L$38,0)),"")</f>
        <v/>
      </c>
      <c r="D7" s="5">
        <f>IFERROR(INDEX('Convergence Scoring'!$C$9:$C$38,MATCH($A7,'Convergence Scoring'!$L$9:$L$38,0)),"")</f>
        <v/>
      </c>
      <c r="E7" s="5">
        <f>IFERROR(INDEX('Convergence Scoring'!$J$9:$J$38,MATCH($A7,'Convergence Scoring'!$L$9:$L$38,0)),"")</f>
        <v/>
      </c>
      <c r="F7" s="4" t="n"/>
      <c r="G7" s="4" t="n"/>
      <c r="H7" s="4" t="n"/>
      <c r="I7" s="4" t="n"/>
      <c r="J7" s="4" t="n"/>
    </row>
    <row r="8">
      <c r="A8" s="7" t="n">
        <v>5</v>
      </c>
      <c r="B8" s="5">
        <f>IFERROR(INDEX('Convergence Scoring'!$A$9:$A$38,MATCH($A8,'Convergence Scoring'!$L$9:$L$38,0)),"")</f>
        <v/>
      </c>
      <c r="C8" s="5">
        <f>IFERROR(INDEX('Convergence Scoring'!$B$9:$B$38,MATCH($A8,'Convergence Scoring'!$L$9:$L$38,0)),"")</f>
        <v/>
      </c>
      <c r="D8" s="5">
        <f>IFERROR(INDEX('Convergence Scoring'!$C$9:$C$38,MATCH($A8,'Convergence Scoring'!$L$9:$L$38,0)),"")</f>
        <v/>
      </c>
      <c r="E8" s="5">
        <f>IFERROR(INDEX('Convergence Scoring'!$J$9:$J$38,MATCH($A8,'Convergence Scoring'!$L$9:$L$38,0)),"")</f>
        <v/>
      </c>
      <c r="F8" s="4" t="n"/>
      <c r="G8" s="4" t="n"/>
      <c r="H8" s="4" t="n"/>
      <c r="I8" s="4" t="n"/>
      <c r="J8" s="4" t="n"/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3" t="inlineStr">
        <is>
          <t>OSRA PHASE 4 — CONVERGENCE MAP: Instructions (v1.2)</t>
        </is>
      </c>
    </row>
    <row r="2">
      <c r="A2" s="14" t="inlineStr"/>
    </row>
    <row r="3">
      <c r="A3" s="14" t="inlineStr">
        <is>
          <t>1. Convergence Matrix: add one row per Phase 1 dependency, using its Dependency ID.</t>
        </is>
      </c>
    </row>
    <row r="4">
      <c r="A4" s="14" t="inlineStr">
        <is>
          <t>2. Answer the three conditions from the Phase 2 and Phase 3 registers. A condition is Y if any failure mode or linked trust signal of the dependency meets it.</t>
        </is>
      </c>
    </row>
    <row r="5">
      <c r="A5" s="14" t="inlineStr">
        <is>
          <t>3. Copy the single point of dependency flag from Phase 1. The Category, Concentration flag and Clock columns are calculated.</t>
        </is>
      </c>
    </row>
    <row r="6">
      <c r="A6" s="14" t="inlineStr">
        <is>
          <t>4. Convergence Scoring: add a row for every Critical Convergence, Convergence Point and Concentration Risk. Choose its category exactly as the matrix shows.</t>
        </is>
      </c>
    </row>
    <row r="7">
      <c r="A7" s="14" t="inlineStr">
        <is>
          <t>5. Score each factor 1-5 against the anchors below the scoring table. Materialisation Horizon: use the most imminent Horizon Score among the Phase 2 failure modes that met a condition (for a Concentration Risk, among its Critical or High failure modes).</t>
        </is>
      </c>
    </row>
    <row r="8">
      <c r="A8" s="14" t="inlineStr">
        <is>
          <t>6. Weighted Score and Rank are calculated. Rank orders by category, then score, then Regulatory Exposure, Blast Radius, Materialisation Horizon and Detection Deficit. If two findings still share a rank, decide which goes first, record why, and adjust by hand.</t>
        </is>
      </c>
    </row>
    <row r="9">
      <c r="A9" s="14" t="inlineStr">
        <is>
          <t>7. Convergence Risk Summary: the top five ranked findings are pulled in automatically. Write the narrative columns for each.</t>
        </is>
      </c>
    </row>
    <row r="10">
      <c r="A10" s="14" t="inlineStr"/>
    </row>
    <row r="11">
      <c r="A11" s="14" t="inlineStr">
        <is>
          <t>Yellow cells are inputs. Purple cells are formulas. The Sort Key helper column in Convergence Scoring is hidden.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2026-09-16T18:03:45Z</dcterms:created>
  <dcterms:modified xsi:type="dcterms:W3CDTF">2026-09-16T18:03:45Z</dcterms:modified>
</cp:coreProperties>
</file>