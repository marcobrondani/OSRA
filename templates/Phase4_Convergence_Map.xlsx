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vergence Matrix" sheetId="1" state="visible" r:id="rId1"/>
    <sheet xmlns:r="http://schemas.openxmlformats.org/officeDocument/2006/relationships" name="Convergence Scoring" sheetId="2" state="visible" r:id="rId2"/>
    <sheet xmlns:r="http://schemas.openxmlformats.org/officeDocument/2006/relationships" name="Convergence Risk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4A148C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4A148C"/>
      <sz val="12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4A148C"/>
      </patternFill>
    </fill>
    <fill>
      <patternFill patternType="solid">
        <fgColor rgb="00FFF2CC"/>
      </patternFill>
    </fill>
    <fill>
      <patternFill patternType="solid">
        <fgColor rgb="00E1BEE7"/>
      </patternFill>
    </fill>
    <fill>
      <patternFill patternType="solid">
        <fgColor rgb="007B1FA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3" fillId="5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148C"/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>
      <c r="A1" s="1" t="inlineStr">
        <is>
          <t>OSRA PHASE 4 — CONVERGENCE MATRIX (v1.1)</t>
        </is>
      </c>
    </row>
    <row r="3">
      <c r="A3" s="2" t="inlineStr">
        <is>
          <t>Categories: CRITICAL CONVERGENCE (3/3), CONVERGENCE POINT (2/3), CONCENTRATION RISK (SPD + high severity), MONITORED RISK (1/3 or low)</t>
        </is>
      </c>
    </row>
    <row r="5">
      <c r="A5" s="3" t="inlineStr">
        <is>
          <t>Dependency
(from Phase 1)</t>
        </is>
      </c>
      <c r="B5" s="3" t="inlineStr">
        <is>
          <t>Phase 2: Severity
= Critical or High?</t>
        </is>
      </c>
      <c r="C5" s="3" t="inlineStr">
        <is>
          <t>Phase 2: Silent
Failure Risk?</t>
        </is>
      </c>
      <c r="D5" s="3" t="inlineStr">
        <is>
          <t>Phase 3: Based on
Unverified Trust?</t>
        </is>
      </c>
      <c r="E5" s="3" t="inlineStr">
        <is>
          <t>Conditions Met
(count 2-3)</t>
        </is>
      </c>
      <c r="F5" s="3" t="inlineStr">
        <is>
          <t>Classification</t>
        </is>
      </c>
    </row>
    <row r="6">
      <c r="A6" s="4" t="inlineStr"/>
      <c r="B6" s="4" t="inlineStr"/>
      <c r="C6" s="4" t="inlineStr"/>
      <c r="D6" s="4" t="inlineStr"/>
      <c r="E6" s="5">
        <f>COUNTIF(B6:D6,"Y")</f>
        <v/>
      </c>
      <c r="F6" s="5">
        <f>IF(E6=3,"CRITICAL CONVERGENCE",IF(E6=2,"CONVERGENCE POINT",IF(E6=1,"MONITORED RISK","")))</f>
        <v/>
      </c>
    </row>
    <row r="7">
      <c r="A7" s="4" t="inlineStr"/>
      <c r="B7" s="4" t="inlineStr"/>
      <c r="C7" s="4" t="inlineStr"/>
      <c r="D7" s="4" t="inlineStr"/>
      <c r="E7" s="5">
        <f>COUNTIF(B7:D7,"Y")</f>
        <v/>
      </c>
      <c r="F7" s="5">
        <f>IF(E7=3,"CRITICAL CONVERGENCE",IF(E7=2,"CONVERGENCE POINT",IF(E7=1,"MONITORED RISK","")))</f>
        <v/>
      </c>
    </row>
    <row r="8">
      <c r="A8" s="4" t="inlineStr"/>
      <c r="B8" s="4" t="inlineStr"/>
      <c r="C8" s="4" t="inlineStr"/>
      <c r="D8" s="4" t="inlineStr"/>
      <c r="E8" s="5">
        <f>COUNTIF(B8:D8,"Y")</f>
        <v/>
      </c>
      <c r="F8" s="5">
        <f>IF(E8=3,"CRITICAL CONVERGENCE",IF(E8=2,"CONVERGENCE POINT",IF(E8=1,"MONITORED RISK","")))</f>
        <v/>
      </c>
    </row>
    <row r="9">
      <c r="A9" s="4" t="inlineStr"/>
      <c r="B9" s="4" t="inlineStr"/>
      <c r="C9" s="4" t="inlineStr"/>
      <c r="D9" s="4" t="inlineStr"/>
      <c r="E9" s="5">
        <f>COUNTIF(B9:D9,"Y")</f>
        <v/>
      </c>
      <c r="F9" s="5">
        <f>IF(E9=3,"CRITICAL CONVERGENCE",IF(E9=2,"CONVERGENCE POINT",IF(E9=1,"MONITORED RISK","")))</f>
        <v/>
      </c>
    </row>
    <row r="10">
      <c r="A10" s="4" t="inlineStr"/>
      <c r="B10" s="4" t="inlineStr"/>
      <c r="C10" s="4" t="inlineStr"/>
      <c r="D10" s="4" t="inlineStr"/>
      <c r="E10" s="5">
        <f>COUNTIF(B10:D10,"Y")</f>
        <v/>
      </c>
      <c r="F10" s="5">
        <f>IF(E10=3,"CRITICAL CONVERGENCE",IF(E10=2,"CONVERGENCE POINT",IF(E10=1,"MONITORED RISK","")))</f>
        <v/>
      </c>
    </row>
    <row r="11">
      <c r="A11" s="4" t="inlineStr"/>
      <c r="B11" s="4" t="inlineStr"/>
      <c r="C11" s="4" t="inlineStr"/>
      <c r="D11" s="4" t="inlineStr"/>
      <c r="E11" s="5">
        <f>COUNTIF(B11:D11,"Y")</f>
        <v/>
      </c>
      <c r="F11" s="5">
        <f>IF(E11=3,"CRITICAL CONVERGENCE",IF(E11=2,"CONVERGENCE POINT",IF(E11=1,"MONITORED RISK","")))</f>
        <v/>
      </c>
    </row>
    <row r="12">
      <c r="A12" s="4" t="inlineStr"/>
      <c r="B12" s="4" t="inlineStr"/>
      <c r="C12" s="4" t="inlineStr"/>
      <c r="D12" s="4" t="inlineStr"/>
      <c r="E12" s="5">
        <f>COUNTIF(B12:D12,"Y")</f>
        <v/>
      </c>
      <c r="F12" s="5">
        <f>IF(E12=3,"CRITICAL CONVERGENCE",IF(E12=2,"CONVERGENCE POINT",IF(E12=1,"MONITORED RISK","")))</f>
        <v/>
      </c>
    </row>
    <row r="13">
      <c r="A13" s="4" t="inlineStr"/>
      <c r="B13" s="4" t="inlineStr"/>
      <c r="C13" s="4" t="inlineStr"/>
      <c r="D13" s="4" t="inlineStr"/>
      <c r="E13" s="5">
        <f>COUNTIF(B13:D13,"Y")</f>
        <v/>
      </c>
      <c r="F13" s="5">
        <f>IF(E13=3,"CRITICAL CONVERGENCE",IF(E13=2,"CONVERGENCE POINT",IF(E13=1,"MONITORED RISK","")))</f>
        <v/>
      </c>
    </row>
    <row r="14">
      <c r="A14" s="4" t="inlineStr"/>
      <c r="B14" s="4" t="inlineStr"/>
      <c r="C14" s="4" t="inlineStr"/>
      <c r="D14" s="4" t="inlineStr"/>
      <c r="E14" s="5">
        <f>COUNTIF(B14:D14,"Y")</f>
        <v/>
      </c>
      <c r="F14" s="5">
        <f>IF(E14=3,"CRITICAL CONVERGENCE",IF(E14=2,"CONVERGENCE POINT",IF(E14=1,"MONITORED RISK","")))</f>
        <v/>
      </c>
    </row>
    <row r="15">
      <c r="A15" s="4" t="inlineStr"/>
      <c r="B15" s="4" t="inlineStr"/>
      <c r="C15" s="4" t="inlineStr"/>
      <c r="D15" s="4" t="inlineStr"/>
      <c r="E15" s="5">
        <f>COUNTIF(B15:D15,"Y")</f>
        <v/>
      </c>
      <c r="F15" s="5">
        <f>IF(E15=3,"CRITICAL CONVERGENCE",IF(E15=2,"CONVERGENCE POINT",IF(E15=1,"MONITORED RISK","")))</f>
        <v/>
      </c>
    </row>
    <row r="16">
      <c r="A16" s="4" t="inlineStr"/>
      <c r="B16" s="4" t="inlineStr"/>
      <c r="C16" s="4" t="inlineStr"/>
      <c r="D16" s="4" t="inlineStr"/>
      <c r="E16" s="5">
        <f>COUNTIF(B16:D16,"Y")</f>
        <v/>
      </c>
      <c r="F16" s="5">
        <f>IF(E16=3,"CRITICAL CONVERGENCE",IF(E16=2,"CONVERGENCE POINT",IF(E16=1,"MONITORED RISK","")))</f>
        <v/>
      </c>
    </row>
    <row r="17">
      <c r="A17" s="4" t="inlineStr"/>
      <c r="B17" s="4" t="inlineStr"/>
      <c r="C17" s="4" t="inlineStr"/>
      <c r="D17" s="4" t="inlineStr"/>
      <c r="E17" s="5">
        <f>COUNTIF(B17:D17,"Y")</f>
        <v/>
      </c>
      <c r="F17" s="5">
        <f>IF(E17=3,"CRITICAL CONVERGENCE",IF(E17=2,"CONVERGENCE POINT",IF(E17=1,"MONITORED RISK","")))</f>
        <v/>
      </c>
    </row>
    <row r="18">
      <c r="A18" s="4" t="inlineStr"/>
      <c r="B18" s="4" t="inlineStr"/>
      <c r="C18" s="4" t="inlineStr"/>
      <c r="D18" s="4" t="inlineStr"/>
      <c r="E18" s="5">
        <f>COUNTIF(B18:D18,"Y")</f>
        <v/>
      </c>
      <c r="F18" s="5">
        <f>IF(E18=3,"CRITICAL CONVERGENCE",IF(E18=2,"CONVERGENCE POINT",IF(E18=1,"MONITORED RISK","")))</f>
        <v/>
      </c>
    </row>
    <row r="19">
      <c r="A19" s="4" t="inlineStr"/>
      <c r="B19" s="4" t="inlineStr"/>
      <c r="C19" s="4" t="inlineStr"/>
      <c r="D19" s="4" t="inlineStr"/>
      <c r="E19" s="5">
        <f>COUNTIF(B19:D19,"Y")</f>
        <v/>
      </c>
      <c r="F19" s="5">
        <f>IF(E19=3,"CRITICAL CONVERGENCE",IF(E19=2,"CONVERGENCE POINT",IF(E19=1,"MONITORED RISK","")))</f>
        <v/>
      </c>
    </row>
  </sheetData>
  <mergeCells count="2">
    <mergeCell ref="A3:F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B1FA2"/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15" customWidth="1" min="4" max="4"/>
    <col width="15" customWidth="1" min="5" max="5"/>
    <col width="18" customWidth="1" min="6" max="6"/>
    <col width="18" customWidth="1" min="7" max="7"/>
    <col width="18" customWidth="1" min="8" max="8"/>
    <col width="8" customWidth="1" min="9" max="9"/>
    <col width="35" customWidth="1" min="10" max="10"/>
  </cols>
  <sheetData>
    <row r="1">
      <c r="A1" s="6" t="inlineStr">
        <is>
          <t>OSRA CONVERGENCE SCORING (v1.1) — 6 factors including Materialisation Horizon</t>
        </is>
      </c>
    </row>
    <row r="3">
      <c r="A3" s="7" t="inlineStr">
        <is>
          <t>Convergence Point
Description</t>
        </is>
      </c>
      <c r="B3" s="7" t="inlineStr">
        <is>
          <t>Regulatory
Exposure (1-5)</t>
        </is>
      </c>
      <c r="C3" s="7" t="inlineStr">
        <is>
          <t>Detection
Deficit (1-5)</t>
        </is>
      </c>
      <c r="D3" s="7" t="inlineStr">
        <is>
          <t>Trust
Depth (1-5)</t>
        </is>
      </c>
      <c r="E3" s="7" t="inlineStr">
        <is>
          <t>Blast
Radius (1-5)</t>
        </is>
      </c>
      <c r="F3" s="7" t="inlineStr">
        <is>
          <t>Remediation
Complexity (1-5)</t>
        </is>
      </c>
      <c r="G3" s="7" t="inlineStr">
        <is>
          <t>Materialisation
Horizon (1-5)</t>
        </is>
      </c>
      <c r="H3" s="7" t="inlineStr">
        <is>
          <t>Weighted Score</t>
        </is>
      </c>
      <c r="I3" s="7" t="inlineStr">
        <is>
          <t>Rank</t>
        </is>
      </c>
      <c r="J3" s="7" t="inlineStr">
        <is>
          <t>Recommended Action
(See Action Catalogue)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5">
        <f>(B4*1.5)+C4+D4+(E4*1.5)+F4+G4</f>
        <v/>
      </c>
      <c r="I4" s="4" t="inlineStr"/>
      <c r="J4" s="4" t="inlineStr"/>
    </row>
    <row r="5">
      <c r="A5" s="4" t="inlineStr"/>
      <c r="B5" s="4" t="inlineStr"/>
      <c r="C5" s="4" t="inlineStr"/>
      <c r="D5" s="4" t="inlineStr"/>
      <c r="E5" s="4" t="inlineStr"/>
      <c r="F5" s="4" t="inlineStr"/>
      <c r="G5" s="4" t="inlineStr"/>
      <c r="H5" s="5">
        <f>(B5*1.5)+C5+D5+(E5*1.5)+F5+G5</f>
        <v/>
      </c>
      <c r="I5" s="4" t="inlineStr"/>
      <c r="J5" s="4" t="inlineStr"/>
    </row>
    <row r="6">
      <c r="A6" s="4" t="inlineStr"/>
      <c r="B6" s="4" t="inlineStr"/>
      <c r="C6" s="4" t="inlineStr"/>
      <c r="D6" s="4" t="inlineStr"/>
      <c r="E6" s="4" t="inlineStr"/>
      <c r="F6" s="4" t="inlineStr"/>
      <c r="G6" s="4" t="inlineStr"/>
      <c r="H6" s="5">
        <f>(B6*1.5)+C6+D6+(E6*1.5)+F6+G6</f>
        <v/>
      </c>
      <c r="I6" s="4" t="inlineStr"/>
      <c r="J6" s="4" t="inlineStr"/>
    </row>
    <row r="7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5">
        <f>(B7*1.5)+C7+D7+(E7*1.5)+F7+G7</f>
        <v/>
      </c>
      <c r="I7" s="4" t="inlineStr"/>
      <c r="J7" s="4" t="inlineStr"/>
    </row>
    <row r="8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5">
        <f>(B8*1.5)+C8+D8+(E8*1.5)+F8+G8</f>
        <v/>
      </c>
      <c r="I8" s="4" t="inlineStr"/>
      <c r="J8" s="4" t="inlineStr"/>
    </row>
    <row r="9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5">
        <f>(B9*1.5)+C9+D9+(E9*1.5)+F9+G9</f>
        <v/>
      </c>
      <c r="I9" s="4" t="inlineStr"/>
      <c r="J9" s="4" t="inlineStr"/>
    </row>
    <row r="10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  <c r="H10" s="5">
        <f>(B10*1.5)+C10+D10+(E10*1.5)+F10+G10</f>
        <v/>
      </c>
      <c r="I10" s="4" t="inlineStr"/>
      <c r="J10" s="4" t="inlineStr"/>
    </row>
    <row r="12">
      <c r="A12" s="8" t="inlineStr">
        <is>
          <t>SCORING GUIDE (v1.1) — Score range: 9.5 (min) to 42.5 (max)</t>
        </is>
      </c>
    </row>
    <row r="13">
      <c r="A13" s="8" t="inlineStr">
        <is>
          <t>Regulatory Exposure (×1.5)</t>
        </is>
      </c>
      <c r="B13" t="inlineStr">
        <is>
          <t>1=No regulatory regime</t>
        </is>
      </c>
      <c r="C13" t="inlineStr">
        <is>
          <t>3=One mandatory regime</t>
        </is>
      </c>
      <c r="D13" t="inlineStr">
        <is>
          <t>5=Multiple overlapping with active enforcement</t>
        </is>
      </c>
    </row>
    <row r="14">
      <c r="A14" s="8" t="inlineStr">
        <is>
          <t>Detection Deficit (×1.0)</t>
        </is>
      </c>
      <c r="B14" t="inlineStr">
        <is>
          <t>1=Fully monitored, automated alerts</t>
        </is>
      </c>
      <c r="C14" t="inlineStr">
        <is>
          <t>3=Periodic manual review</t>
        </is>
      </c>
      <c r="D14" t="inlineStr">
        <is>
          <t>5=No detection mechanism exists</t>
        </is>
      </c>
    </row>
    <row r="15">
      <c r="A15" s="8" t="inlineStr">
        <is>
          <t>Trust Depth (×1.0)</t>
        </is>
      </c>
      <c r="B15" t="inlineStr">
        <is>
          <t>1=Directly verified by organisation</t>
        </is>
      </c>
      <c r="C15" t="inlineStr">
        <is>
          <t>3=Vendor-attested, not independently verified</t>
        </is>
      </c>
      <c r="D15" t="inlineStr">
        <is>
          <t>5=3+ layers of transitive unverified trust</t>
        </is>
      </c>
    </row>
    <row r="16">
      <c r="A16" s="8" t="inlineStr">
        <is>
          <t>Blast Radius (×1.5)</t>
        </is>
      </c>
      <c r="B16" t="inlineStr">
        <is>
          <t>1=Isolated non-critical function</t>
        </is>
      </c>
      <c r="C16" t="inlineStr">
        <is>
          <t>3=One business unit affected</t>
        </is>
      </c>
      <c r="D16" t="inlineStr">
        <is>
          <t>5=Organisation-wide or customer-facing</t>
        </is>
      </c>
    </row>
    <row r="17">
      <c r="A17" s="8" t="inlineStr">
        <is>
          <t>Remediation Complexity (×1.0)</t>
        </is>
      </c>
      <c r="B17" t="inlineStr">
        <is>
          <t>1=Config change / quick fix</t>
        </is>
      </c>
      <c r="C17" t="inlineStr">
        <is>
          <t>3=Vendor negotiation / new tooling</t>
        </is>
      </c>
      <c r="D17" t="inlineStr">
        <is>
          <t>5=Architectural redesign required</t>
        </is>
      </c>
    </row>
    <row r="18">
      <c r="A18" s="8" t="inlineStr">
        <is>
          <t>Materialisation Horizon (×1.0)</t>
        </is>
      </c>
      <c r="B18" t="inlineStr">
        <is>
          <t>1=Years (slow shift)</t>
        </is>
      </c>
      <c r="C18" t="inlineStr">
        <is>
          <t>3=Weeks (unpredictable)</t>
        </is>
      </c>
      <c r="D18" t="inlineStr">
        <is>
          <t>5=Imminent or already occurring</t>
        </is>
      </c>
    </row>
    <row r="19">
      <c r="A19" s="8" t="n"/>
    </row>
    <row r="20">
      <c r="A20" t="inlineStr">
        <is>
          <t>CONVERGENCE CATEGORIES (v1.1)</t>
        </is>
      </c>
    </row>
    <row r="21">
      <c r="A21" s="8" t="inlineStr">
        <is>
          <t>CRITICAL CONVERGENCE</t>
        </is>
      </c>
      <c r="B21" t="inlineStr">
        <is>
          <t>3/3 conditions met</t>
        </is>
      </c>
      <c r="C21" t="inlineStr">
        <is>
          <t>Remediation within 30 days</t>
        </is>
      </c>
    </row>
    <row r="22">
      <c r="A22" s="8" t="inlineStr">
        <is>
          <t>CONVERGENCE POINT</t>
        </is>
      </c>
      <c r="B22" t="inlineStr">
        <is>
          <t>2/3 conditions met</t>
        </is>
      </c>
      <c r="C22" t="inlineStr">
        <is>
          <t>Remediation within 90 days</t>
        </is>
      </c>
    </row>
    <row r="23">
      <c r="A23" s="8" t="inlineStr">
        <is>
          <t>CONCENTRATION RISK</t>
        </is>
      </c>
      <c r="B23" t="inlineStr">
        <is>
          <t>SPD + Critical/High severity (regardless of convergence conditions)</t>
        </is>
      </c>
      <c r="C23" t="inlineStr">
        <is>
          <t>Exit strategy + redundancy within 6 months</t>
        </is>
      </c>
    </row>
    <row r="24">
      <c r="A24" s="8" t="inlineStr">
        <is>
          <t>MONITORED RISK</t>
        </is>
      </c>
      <c r="B24" t="inlineStr">
        <is>
          <t>1/3 conditions or Low severity</t>
        </is>
      </c>
      <c r="C24" t="inlineStr">
        <is>
          <t>Standard risk management cycle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27B0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28" customWidth="1" min="4" max="4"/>
    <col width="20" customWidth="1" min="5" max="5"/>
    <col width="15" customWidth="1" min="6" max="6"/>
    <col width="32" customWidth="1" min="7" max="7"/>
  </cols>
  <sheetData>
    <row r="1">
      <c r="A1" s="1" t="inlineStr">
        <is>
          <t>OSRA CONVERGENCE RISK SUMMARY — Board-Ready Output (v1.1)</t>
        </is>
      </c>
    </row>
    <row r="3">
      <c r="A3" s="3" t="inlineStr">
        <is>
          <t>Rank</t>
        </is>
      </c>
      <c r="B3" s="3" t="inlineStr">
        <is>
          <t>Convergence Point</t>
        </is>
      </c>
      <c r="C3" s="3" t="inlineStr">
        <is>
          <t>What Converges Here</t>
        </is>
      </c>
      <c r="D3" s="3" t="inlineStr">
        <is>
          <t>Why Governance Missed It</t>
        </is>
      </c>
      <c r="E3" s="3" t="inlineStr">
        <is>
          <t>Regulatory Exposure</t>
        </is>
      </c>
      <c r="F3" s="3" t="inlineStr">
        <is>
          <t>Materialisation
Horizon</t>
        </is>
      </c>
      <c r="G3" s="3" t="inlineStr">
        <is>
          <t>Recommended Action</t>
        </is>
      </c>
    </row>
    <row r="4">
      <c r="A4" s="9" t="inlineStr">
        <is>
          <t>1</t>
        </is>
      </c>
      <c r="B4" s="10" t="inlineStr"/>
      <c r="C4" s="10" t="inlineStr"/>
      <c r="D4" s="10" t="inlineStr"/>
      <c r="E4" s="10" t="inlineStr"/>
      <c r="F4" s="10" t="inlineStr"/>
      <c r="G4" s="10" t="inlineStr"/>
    </row>
    <row r="5">
      <c r="A5" s="9" t="inlineStr">
        <is>
          <t>2</t>
        </is>
      </c>
      <c r="B5" s="10" t="inlineStr"/>
      <c r="C5" s="10" t="inlineStr"/>
      <c r="D5" s="10" t="inlineStr"/>
      <c r="E5" s="10" t="inlineStr"/>
      <c r="F5" s="10" t="inlineStr"/>
      <c r="G5" s="10" t="inlineStr"/>
    </row>
    <row r="6">
      <c r="A6" s="9" t="inlineStr">
        <is>
          <t>3</t>
        </is>
      </c>
      <c r="B6" s="10" t="inlineStr"/>
      <c r="C6" s="10" t="inlineStr"/>
      <c r="D6" s="10" t="inlineStr"/>
      <c r="E6" s="10" t="inlineStr"/>
      <c r="F6" s="10" t="inlineStr"/>
      <c r="G6" s="10" t="inlineStr"/>
    </row>
    <row r="7">
      <c r="A7" s="9" t="inlineStr">
        <is>
          <t>4</t>
        </is>
      </c>
      <c r="B7" s="10" t="inlineStr"/>
      <c r="C7" s="10" t="inlineStr"/>
      <c r="D7" s="10" t="inlineStr"/>
      <c r="E7" s="10" t="inlineStr"/>
      <c r="F7" s="10" t="inlineStr"/>
      <c r="G7" s="10" t="inlineStr"/>
    </row>
    <row r="8">
      <c r="A8" s="9" t="inlineStr">
        <is>
          <t>5</t>
        </is>
      </c>
      <c r="B8" s="10" t="inlineStr"/>
      <c r="C8" s="10" t="inlineStr"/>
      <c r="D8" s="10" t="inlineStr"/>
      <c r="E8" s="10" t="inlineStr"/>
      <c r="F8" s="10" t="inlineStr"/>
      <c r="G8" s="10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2026-03-21T13:38:31Z</dcterms:created>
  <dcterms:modified xmlns:dcterms="http://purl.org/dc/terms/" xmlns:xsi="http://www.w3.org/2001/XMLSchema-instance" xsi:type="dcterms:W3CDTF">2026-03-21T13:58:14Z</dcterms:modified>
</cp:coreProperties>
</file>